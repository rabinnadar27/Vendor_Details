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995" windowHeight="78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311" i="1" l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4" i="1" l="1"/>
  <c r="K239" i="1" l="1"/>
  <c r="K238" i="1"/>
  <c r="K237" i="1"/>
  <c r="K236" i="1"/>
  <c r="K235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79" i="1"/>
  <c r="K87" i="1" l="1"/>
  <c r="K86" i="1"/>
  <c r="K85" i="1"/>
  <c r="K84" i="1"/>
  <c r="K83" i="1"/>
  <c r="K82" i="1"/>
  <c r="K81" i="1"/>
  <c r="K80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G17" i="1"/>
  <c r="G13" i="1"/>
  <c r="P7" i="1"/>
  <c r="N7" i="1"/>
  <c r="M7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B4" i="1"/>
  <c r="B5" i="1" s="1"/>
</calcChain>
</file>

<file path=xl/comments1.xml><?xml version="1.0" encoding="utf-8"?>
<comments xmlns="http://schemas.openxmlformats.org/spreadsheetml/2006/main">
  <authors>
    <author>DELL</author>
  </authors>
  <commentList>
    <comment ref="G5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Electrical Wires</t>
        </r>
      </text>
    </comment>
    <comment ref="G7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Electrical House Wiring</t>
        </r>
      </text>
    </comment>
  </commentList>
</comments>
</file>

<file path=xl/sharedStrings.xml><?xml version="1.0" encoding="utf-8"?>
<sst xmlns="http://schemas.openxmlformats.org/spreadsheetml/2006/main" count="772" uniqueCount="418">
  <si>
    <t>Sr. No.</t>
  </si>
  <si>
    <t>Site</t>
  </si>
  <si>
    <t>W.O.</t>
  </si>
  <si>
    <t>Invoice Date</t>
  </si>
  <si>
    <t>Invoice No.</t>
  </si>
  <si>
    <t>Vendor Name</t>
  </si>
  <si>
    <t>Description</t>
  </si>
  <si>
    <t>Rate</t>
  </si>
  <si>
    <t>QTY</t>
  </si>
  <si>
    <t>Amount</t>
  </si>
  <si>
    <t>UoM</t>
  </si>
  <si>
    <t>Address</t>
  </si>
  <si>
    <t>Contact No.</t>
  </si>
  <si>
    <t>E-mail ID</t>
  </si>
  <si>
    <t>Canopy</t>
  </si>
  <si>
    <t>2023/590</t>
  </si>
  <si>
    <t>Cromonimet Steel Pvt. Ltd.</t>
  </si>
  <si>
    <t>SS Angle 722240</t>
  </si>
  <si>
    <t>Kg</t>
  </si>
  <si>
    <t>27AAECC9747M1ZZ</t>
  </si>
  <si>
    <t>Charni Road</t>
  </si>
  <si>
    <t>info@crommonimet.com</t>
  </si>
  <si>
    <t>3PH HQ</t>
  </si>
  <si>
    <t>SAL/25-26/087</t>
  </si>
  <si>
    <t>United HVAC Pvt. Ltd.</t>
  </si>
  <si>
    <t>Remote Controller Assembly</t>
  </si>
  <si>
    <t>Nos</t>
  </si>
  <si>
    <t>27AABCU3372R1ZP</t>
  </si>
  <si>
    <t>Chembur</t>
  </si>
  <si>
    <t>unitedhvacpvtltd@gmail.com</t>
  </si>
  <si>
    <t>The Abhishek Agencies</t>
  </si>
  <si>
    <t>F 4.00 SQMM 200 metre FR</t>
  </si>
  <si>
    <t>F 1.50 SQMM 300 metre FR</t>
  </si>
  <si>
    <t>Coils</t>
  </si>
  <si>
    <t>27AKQPJ6469A1ZW</t>
  </si>
  <si>
    <t>Marine Lines</t>
  </si>
  <si>
    <t>theabhishekagencies@gmail.com</t>
  </si>
  <si>
    <t>180 M 1.0 SQMM</t>
  </si>
  <si>
    <t>1.50 SQMM (180 metre) (F)</t>
  </si>
  <si>
    <t>4.00 SQMM (180 metre) (F)</t>
  </si>
  <si>
    <t>JPC-116</t>
  </si>
  <si>
    <t>Jaxani Pharmacoat</t>
  </si>
  <si>
    <t>Procoat White - CEW</t>
  </si>
  <si>
    <t>24AMGPS0999A1ZO</t>
  </si>
  <si>
    <t>Gandhinagar, Gujarat</t>
  </si>
  <si>
    <t>jaxanipharmacoat@gmail.com</t>
  </si>
  <si>
    <t>Abhishek Electricals</t>
  </si>
  <si>
    <t>F 1.00 SQMM 300 metre FR</t>
  </si>
  <si>
    <t>F 2.50 SQMM 300 metre FR</t>
  </si>
  <si>
    <t>27ALUPJ6805D1ZW</t>
  </si>
  <si>
    <t>abhishekelectricals91@gmail.com</t>
  </si>
  <si>
    <t>P 1.00 SQMM 300 metre FR</t>
  </si>
  <si>
    <t>P 2.50 SQMM 300 metre FR</t>
  </si>
  <si>
    <t>Kishan Autoparts Pvt. Ltd.</t>
  </si>
  <si>
    <t>KA-011 Connecting ROD ZZ90009</t>
  </si>
  <si>
    <t>KA-035 Connecting ROD C7NN6200A</t>
  </si>
  <si>
    <t>KA-010 Connecting ROD ZZ90010</t>
  </si>
  <si>
    <t>KA-072 Connecting ROD C9NN6200C</t>
  </si>
  <si>
    <t>24AABCK5551G1ZR</t>
  </si>
  <si>
    <t>Rajkot, Gujarat</t>
  </si>
  <si>
    <t>sales@kishanauto.com</t>
  </si>
  <si>
    <t>info@kishanauto.com</t>
  </si>
  <si>
    <t>Ganesh Industry</t>
  </si>
  <si>
    <t>Seat for operator universal type (Yellow)</t>
  </si>
  <si>
    <t>Seat for operator universal type (Black)</t>
  </si>
  <si>
    <t>Seat for operator universal type (Blue)</t>
  </si>
  <si>
    <t>Bolt N</t>
  </si>
  <si>
    <t>Seat tractor premium</t>
  </si>
  <si>
    <t>03ARZPK4274C1ZN</t>
  </si>
  <si>
    <t>Punjab</t>
  </si>
  <si>
    <t>-</t>
  </si>
  <si>
    <t>ganeshindustry011@gmail.com</t>
  </si>
  <si>
    <t>MHEX/06728/25-26</t>
  </si>
  <si>
    <t>Macro Logistics &amp; EXIM Pvt. Ltd.</t>
  </si>
  <si>
    <t>AD Code Registration</t>
  </si>
  <si>
    <t>27AAGCM2600P1ZB</t>
  </si>
  <si>
    <t>Andheri East</t>
  </si>
  <si>
    <t>+91 22 6887 3400</t>
  </si>
  <si>
    <t>info@macrologistics.co.in</t>
  </si>
  <si>
    <t>1466/25-26</t>
  </si>
  <si>
    <t>Hardware Gallery</t>
  </si>
  <si>
    <t>Aluminium Ladder</t>
  </si>
  <si>
    <t>Pcs</t>
  </si>
  <si>
    <t>27AHGPG8297E1Z2</t>
  </si>
  <si>
    <t>hardwaregallery2011@gmail.com</t>
  </si>
  <si>
    <t>469/2025-26</t>
  </si>
  <si>
    <t>Colourtech Flexpack LLP</t>
  </si>
  <si>
    <t>Printed aluminium foil</t>
  </si>
  <si>
    <t>Aluminium foil cut size</t>
  </si>
  <si>
    <t>27AAUFC8870G1ZS</t>
  </si>
  <si>
    <t>Vasai East</t>
  </si>
  <si>
    <t>colourtechflexpack@gmail.com</t>
  </si>
  <si>
    <t>DX SP MCB MIX 6-32 AMP</t>
  </si>
  <si>
    <t>408700 C40A 4P MCB DX3</t>
  </si>
  <si>
    <t>2.50 SQMM 180 metre</t>
  </si>
  <si>
    <t>555259 32A 3P+N+E 415V Surf Mtng Sock</t>
  </si>
  <si>
    <t>555234 32A 2P+E 230V Str Plug IP44</t>
  </si>
  <si>
    <t>555239 32A 3P+N+E 415V Straight Plug</t>
  </si>
  <si>
    <t>555104 16A 2P+E 230V Mobile sock IP44</t>
  </si>
  <si>
    <t>555184 16A 2P+E 230V Panel Mtng Sock</t>
  </si>
  <si>
    <t>555124 16A 2P+E 230V Str. Plug IP44</t>
  </si>
  <si>
    <t>650028 20A 2P+E Metra PLG IVORY</t>
  </si>
  <si>
    <t>650016 32A 3P+E Metra PLG Grey</t>
  </si>
  <si>
    <t>673000 6A Switch 1W1M White NRI</t>
  </si>
  <si>
    <t>673186 6A 3PIN Socket White</t>
  </si>
  <si>
    <t>673008 16A 1 Way Switch Myrius</t>
  </si>
  <si>
    <t>673027 Fan Regulator 100W1M White NRI</t>
  </si>
  <si>
    <t>673029 Fan Regulator 100W2M White NRI</t>
  </si>
  <si>
    <t>673203 Myrius PL+FR 3M</t>
  </si>
  <si>
    <t>673208 8M Plate Myrius</t>
  </si>
  <si>
    <t>673212 Myrius 12 Module Plate</t>
  </si>
  <si>
    <t>673061 Blanking Plate 1M Myrius</t>
  </si>
  <si>
    <t>673207 32A MCB SP 1M C Curve</t>
  </si>
  <si>
    <t>673206 Myrius 6 Module Plate Legrand</t>
  </si>
  <si>
    <t>402445 DP B32A 10KA AC RX3 MCB</t>
  </si>
  <si>
    <t>675640 Modular SP MCB 20A 1M</t>
  </si>
  <si>
    <t>P 6.00 SQMM 200 Metre FR</t>
  </si>
  <si>
    <t>420055 DPX3 MCCB 100AMP/FP/25KA</t>
  </si>
  <si>
    <t>420056 DPX3 MCCB 125AMP/FP/25KA</t>
  </si>
  <si>
    <t>507801 MCCB DPX3 160 Enclosure-3P&amp;4P Legrand</t>
  </si>
  <si>
    <t>675513 16A 1 Way Switch Mylinc</t>
  </si>
  <si>
    <t>675555 6/16 AMP 2M Socket Mylinc</t>
  </si>
  <si>
    <t>675551 Socket Shuttered 6A 3P 2MOD</t>
  </si>
  <si>
    <t>675566 6 Module Plate</t>
  </si>
  <si>
    <t>675567 8 Module (H) Plate</t>
  </si>
  <si>
    <t>675595 Indicator Light Red</t>
  </si>
  <si>
    <t>P 2.50 SQMM 300 metre</t>
  </si>
  <si>
    <t>P 4.00 SQMM 200 metre</t>
  </si>
  <si>
    <t>507747 VTPN 8W MCCB 160A IP43</t>
  </si>
  <si>
    <t>420005 DPX3 160 THR.MAG.TP 100A 16KA</t>
  </si>
  <si>
    <t>420016 125A 4P 16KA MCCB Legrand</t>
  </si>
  <si>
    <t>Metres</t>
  </si>
  <si>
    <t>Cat 6 305 Metre</t>
  </si>
  <si>
    <t>507670 4W ETPN DD DB Legrand</t>
  </si>
  <si>
    <t>507671 ETPN 6W IP43 DD DB</t>
  </si>
  <si>
    <t>054012 POPUP ALU 6 MOD</t>
  </si>
  <si>
    <t>675501 6A 1 Way Switch Mylinc</t>
  </si>
  <si>
    <t>675511 16A Switch SP 1 Way</t>
  </si>
  <si>
    <t>675555 6/16AMP 2M Socket Mylinc</t>
  </si>
  <si>
    <t>675563 3 Module Plate Mylinc</t>
  </si>
  <si>
    <t>675564 4 Module Plate</t>
  </si>
  <si>
    <t>P 2.50 SQMM (300 Metre)</t>
  </si>
  <si>
    <t>MHEX/05545/25-26</t>
  </si>
  <si>
    <t>Air Freight - INR 77 X 252 Kgs</t>
  </si>
  <si>
    <t>AWB/PCA FEE -</t>
  </si>
  <si>
    <t>Terminal Handling Charges -</t>
  </si>
  <si>
    <t>Agency Charges -</t>
  </si>
  <si>
    <t>Additional Drug Controller of India -</t>
  </si>
  <si>
    <t>ADDL</t>
  </si>
  <si>
    <t>Cold Gold Refrigeration</t>
  </si>
  <si>
    <t>Drain Pump</t>
  </si>
  <si>
    <t>27AHFPA3318K1ZK</t>
  </si>
  <si>
    <t>Boisar</t>
  </si>
  <si>
    <t>coldgoldtarapur@gmail.com</t>
  </si>
  <si>
    <t>M571</t>
  </si>
  <si>
    <t>Ujala Products</t>
  </si>
  <si>
    <t>Crank Shaft for PS38974 Lister CS 8/1 EN9 Steel Hard</t>
  </si>
  <si>
    <t>Connecting ROD for PS6191 Lister 8/1 MS</t>
  </si>
  <si>
    <t>Double CYL Camshaft COM.ASSE. For PS3966 Lister 12/2 MS</t>
  </si>
  <si>
    <t>Lister CAMSHAFT Assembly for 8/1 Heavy Gear</t>
  </si>
  <si>
    <t>Transportation &amp; Round OFF for</t>
  </si>
  <si>
    <t>ACS</t>
  </si>
  <si>
    <t>ASS.</t>
  </si>
  <si>
    <t>ASS</t>
  </si>
  <si>
    <t>24AELPD1153N1ZK</t>
  </si>
  <si>
    <t>ujalaproducts2006@gmail.com</t>
  </si>
  <si>
    <t>Covalent Laboratories Pvt. Ltd.</t>
  </si>
  <si>
    <t>Cefixime Trihydrate Compacted IP</t>
  </si>
  <si>
    <t>36AABCC9544R1ZY</t>
  </si>
  <si>
    <t>Telangana</t>
  </si>
  <si>
    <t>+91 4049483333</t>
  </si>
  <si>
    <t>679211 16A Switch 1W1M IND White</t>
  </si>
  <si>
    <t>679200 6A Switch 1W1M White</t>
  </si>
  <si>
    <t>679265 RJ 45 UTP Cat 6 Tooless With SHU</t>
  </si>
  <si>
    <t>679210 16A Switch 2W1M White</t>
  </si>
  <si>
    <t>679522 Plate + Frame 2M ICE White</t>
  </si>
  <si>
    <t>679523 Plate + Frame 3M ICE White</t>
  </si>
  <si>
    <t>679524 Plate + Frame 4M ICE White</t>
  </si>
  <si>
    <t>679526 Plate + Frame 6M ICE White</t>
  </si>
  <si>
    <t>679532 Plate + Frame 12M ICE White</t>
  </si>
  <si>
    <t>679702 Plate + Frame 2M Charcoal Grey</t>
  </si>
  <si>
    <t>679706 Plate + Frame 6M Charcoal Grey</t>
  </si>
  <si>
    <t>679435 6A 3PIN SKT CHRC</t>
  </si>
  <si>
    <t>679440 Fan REG 360 DGRS 100W2M CH. G</t>
  </si>
  <si>
    <t>679430 6/16A Socket 2M Charcoal Grey</t>
  </si>
  <si>
    <t>679448 Skirting Light CH. Grey (WRM WH LED)</t>
  </si>
  <si>
    <t>679411 16A Switch 1W1M IND Charcoal Grey</t>
  </si>
  <si>
    <t>679462 RJ11 Telephone Charcoal Grey</t>
  </si>
  <si>
    <t>679465 RJ 45 Cat 6 1M CH</t>
  </si>
  <si>
    <t>679401 6A Switch 2W1M Charcoal Grey</t>
  </si>
  <si>
    <t>679566 6M Pearl Champagne Myruis NexGen</t>
  </si>
  <si>
    <t>420015 DPX3 160 THR.MAG.FP 100A 16KA</t>
  </si>
  <si>
    <t>8080081448</t>
  </si>
  <si>
    <t>HQ Tiling</t>
  </si>
  <si>
    <t>2022/579</t>
  </si>
  <si>
    <t>SDS-16/25-26</t>
  </si>
  <si>
    <t>Shree Dev Steels</t>
  </si>
  <si>
    <t>SS Pipes - 73066100</t>
  </si>
  <si>
    <t>SS Pipes - 73066100 (40x40x2mm - 3n)</t>
  </si>
  <si>
    <t>SS Pipes - 73066100 (20x20x2mm - 9n)</t>
  </si>
  <si>
    <t>SS Pipes - 73066100 (20ODx2mm - 1n)</t>
  </si>
  <si>
    <t>SS Fittings - 730729 (50mm L Bend)</t>
  </si>
  <si>
    <t>SS Fittings - 730729 (50mm Ball)</t>
  </si>
  <si>
    <t>Kgs</t>
  </si>
  <si>
    <t>27BOHPK1651M1ZO</t>
  </si>
  <si>
    <t>Girgaon, Mumbai</t>
  </si>
  <si>
    <t>shreedevsteels@gmail.com</t>
  </si>
  <si>
    <t>Sumilon Industries Pvt. Ltd.</t>
  </si>
  <si>
    <t>Holography Film - 13 Micron</t>
  </si>
  <si>
    <t>24AADCS3567L1Z2</t>
  </si>
  <si>
    <t>Gujarat</t>
  </si>
  <si>
    <t>U1-G02987/25</t>
  </si>
  <si>
    <t>Benara Udyog Limited</t>
  </si>
  <si>
    <t>Plain Shaft Thurst Bearing &amp; Bushes</t>
  </si>
  <si>
    <t>09AAACB6515A1Z7</t>
  </si>
  <si>
    <t>Agra</t>
  </si>
  <si>
    <t>+91 5622275347</t>
  </si>
  <si>
    <t>info@benaraudyog.com</t>
  </si>
  <si>
    <t>MHEX/04199/25-26</t>
  </si>
  <si>
    <t>Air Freight - INR 73 X 559 Kgs</t>
  </si>
  <si>
    <t>Manifest Charges -</t>
  </si>
  <si>
    <t>Other Charges -</t>
  </si>
  <si>
    <t>ASI Charges -</t>
  </si>
  <si>
    <t>Transportation Charges -</t>
  </si>
  <si>
    <t>Warai -</t>
  </si>
  <si>
    <t>1695/25-26</t>
  </si>
  <si>
    <t>Vinit Enterprises</t>
  </si>
  <si>
    <t>T11 - Roff Rainbow Tile Mate (1 kg)</t>
  </si>
  <si>
    <t>T - 05 Roff Vitrofix Ultra Grey (20 kg)</t>
  </si>
  <si>
    <t>Bags</t>
  </si>
  <si>
    <t>27AEBPT9815K2ZW</t>
  </si>
  <si>
    <t>Kurla East</t>
  </si>
  <si>
    <t>vinitenterprises20@gmail.com</t>
  </si>
  <si>
    <t>SDS-09/25-26</t>
  </si>
  <si>
    <t>SS Pipes - 73064000</t>
  </si>
  <si>
    <t>SS Fittings - 730729</t>
  </si>
  <si>
    <t>SS Fittings - 730729 (50 mm Ball)</t>
  </si>
  <si>
    <t>SS Fittings - 730729 (50 mm Base Vati)</t>
  </si>
  <si>
    <t>SS Fittings - 730729 (40 * 40 Flat Washer)</t>
  </si>
  <si>
    <t>Wheel - 6804</t>
  </si>
  <si>
    <t>Wheel Disc Textile - 6805</t>
  </si>
  <si>
    <t>Wheel Disc Textile - 6805 (120 Grit)</t>
  </si>
  <si>
    <t>Coating Films 12 MIC MATT PET Gold</t>
  </si>
  <si>
    <t>1171/25-26</t>
  </si>
  <si>
    <t>Jindal Auto Exports</t>
  </si>
  <si>
    <t>F.T.D Clutch Drive Hub</t>
  </si>
  <si>
    <t>07AAMPJ7646R1ZR</t>
  </si>
  <si>
    <t>Delhi</t>
  </si>
  <si>
    <t>1603/24-25</t>
  </si>
  <si>
    <t>Paradise Metals</t>
  </si>
  <si>
    <t>Copper Tube Prime 1/4" 1.350</t>
  </si>
  <si>
    <t>Copper Tube Prime 3/8" 2.200</t>
  </si>
  <si>
    <t>Copper Tube Prime 1/2" 3.200</t>
  </si>
  <si>
    <t>Copper Tube Prime 5/8" 4.200</t>
  </si>
  <si>
    <t>27AAPPM2683L1Z0</t>
  </si>
  <si>
    <t>Mauli Enterprises</t>
  </si>
  <si>
    <t>R22 - 61 KG</t>
  </si>
  <si>
    <t>27ALKPG2510Q1ZW</t>
  </si>
  <si>
    <t>Airoli, Navi Mumbai</t>
  </si>
  <si>
    <t>maulienterprises0786@gmail.com</t>
  </si>
  <si>
    <t>1583/24-25</t>
  </si>
  <si>
    <t>Class 1 Insulation 9 x 6</t>
  </si>
  <si>
    <t>Class 1 Insulation 9 x 10</t>
  </si>
  <si>
    <t>Class 1 Insulation 9 x 13</t>
  </si>
  <si>
    <t>Class 1 Insulation 9 x 16</t>
  </si>
  <si>
    <t>Class 1 Insulation 9 x 28</t>
  </si>
  <si>
    <t>2024-25/1697</t>
  </si>
  <si>
    <t>Bela Refrigeration</t>
  </si>
  <si>
    <t>Refrigerant Gas</t>
  </si>
  <si>
    <t>HFC 32 Gas</t>
  </si>
  <si>
    <t>27AFCPA8454K1ZC</t>
  </si>
  <si>
    <t>Bhiwandi</t>
  </si>
  <si>
    <t>2024-25/1630</t>
  </si>
  <si>
    <t>R 404A Gas</t>
  </si>
  <si>
    <t>R 410A Gas</t>
  </si>
  <si>
    <t>Refrigerant Cans</t>
  </si>
  <si>
    <t>Gujarat Aircon</t>
  </si>
  <si>
    <t>Evaporator</t>
  </si>
  <si>
    <t>Cyclone Burner Torch</t>
  </si>
  <si>
    <t>Gun (84509010)</t>
  </si>
  <si>
    <t>Cooling Fan Motor 16 WATT</t>
  </si>
  <si>
    <t>Cooling Fan Motor 34 WATT</t>
  </si>
  <si>
    <t>Compressor ATD</t>
  </si>
  <si>
    <t>Compressor ATA</t>
  </si>
  <si>
    <t>IDU 1.5 TON</t>
  </si>
  <si>
    <t>26AAWFG6230C1ZI</t>
  </si>
  <si>
    <t>Surat</t>
  </si>
  <si>
    <t>gujarataircon@yahoo.com</t>
  </si>
  <si>
    <t>SBE-3480/24-25</t>
  </si>
  <si>
    <t>Shree Balaji Enterprises</t>
  </si>
  <si>
    <t>Non - Adhesive Tapes</t>
  </si>
  <si>
    <t>Pressure Washer Pump</t>
  </si>
  <si>
    <t>27AALPK7064R1ZT</t>
  </si>
  <si>
    <t>Malad West</t>
  </si>
  <si>
    <t>sbesales24@gmail.com</t>
  </si>
  <si>
    <t>GST/227/24-25</t>
  </si>
  <si>
    <t>Bafna Industries</t>
  </si>
  <si>
    <t>Defrost Timer 8 HRS</t>
  </si>
  <si>
    <t>EIE Motar 6.5W 1PH 220V 50 HZ</t>
  </si>
  <si>
    <t>Godrej Gear Box Type C Videocon</t>
  </si>
  <si>
    <t>Copper Fitting Reducer</t>
  </si>
  <si>
    <t>27AJTPJ8401A1ZB</t>
  </si>
  <si>
    <t>Bhayander (East)</t>
  </si>
  <si>
    <t>bafnaindustries2017@gmail.com</t>
  </si>
  <si>
    <t>6294/24-25</t>
  </si>
  <si>
    <t>Sahil Enterprises</t>
  </si>
  <si>
    <t>R 404A</t>
  </si>
  <si>
    <t>2.5 X 4 Core Industrial (ISI)</t>
  </si>
  <si>
    <t>27ANXPD2233Q1ZE</t>
  </si>
  <si>
    <t>Kandivali (West)</t>
  </si>
  <si>
    <t>doshidoshi85@gmail.com</t>
  </si>
  <si>
    <t>Danfoss TE Element N</t>
  </si>
  <si>
    <t>Danfoss TE 5 Valve Body SA</t>
  </si>
  <si>
    <t>Danfoss TE 5 Orifice 01</t>
  </si>
  <si>
    <t>2.5 (4 Core) Industrial Cable</t>
  </si>
  <si>
    <t>Copper Fitting</t>
  </si>
  <si>
    <t>Vaccum Pump</t>
  </si>
  <si>
    <t>TGE 13 Expension Valve</t>
  </si>
  <si>
    <t>Filter Drier</t>
  </si>
  <si>
    <t>Single Manifold D CT - 466</t>
  </si>
  <si>
    <t>Flaring Tool Kit</t>
  </si>
  <si>
    <t>Roatry Compressor 2.0 TON</t>
  </si>
  <si>
    <t>Cond Unit</t>
  </si>
  <si>
    <t>Compressor ASD</t>
  </si>
  <si>
    <t>Tube Cutter</t>
  </si>
  <si>
    <t>Pressure Washer</t>
  </si>
  <si>
    <t>Charging Nipple</t>
  </si>
  <si>
    <t>Single Manifold</t>
  </si>
  <si>
    <t>Copper Strainer</t>
  </si>
  <si>
    <t>Contactor</t>
  </si>
  <si>
    <t>Clamp Meter</t>
  </si>
  <si>
    <t>MAP GAS</t>
  </si>
  <si>
    <t>WS COIL SAVER</t>
  </si>
  <si>
    <t>Spare Parts</t>
  </si>
  <si>
    <t>Hanging Plate</t>
  </si>
  <si>
    <t>Cable Tie</t>
  </si>
  <si>
    <t>Power Cord</t>
  </si>
  <si>
    <t>Brazing Torch</t>
  </si>
  <si>
    <t>Adeaptor</t>
  </si>
  <si>
    <t>BT - 1000 HPW Pump Head Chamber</t>
  </si>
  <si>
    <t>SET</t>
  </si>
  <si>
    <t>PKT</t>
  </si>
  <si>
    <t>24AAWFG6230C1ZI</t>
  </si>
  <si>
    <t>A-10252/24-25</t>
  </si>
  <si>
    <t>Airconditioning Spares Centre</t>
  </si>
  <si>
    <t>COMP CR42K6M-TFM-101DM</t>
  </si>
  <si>
    <t>27AABFA2809E1ZY</t>
  </si>
  <si>
    <t>022 26834991</t>
  </si>
  <si>
    <t>sales@accentre.in</t>
  </si>
  <si>
    <t>Navkar Enterprise</t>
  </si>
  <si>
    <t>Semi inlet 3 metre (20 mm)</t>
  </si>
  <si>
    <t>24FXEPS7811F1ZC</t>
  </si>
  <si>
    <t>vikashrshah1993@gmail.com</t>
  </si>
  <si>
    <t>GST/203/24-25</t>
  </si>
  <si>
    <t>Condenser Assembly (200 litre)</t>
  </si>
  <si>
    <t>Condenser Assembly (300 litre)</t>
  </si>
  <si>
    <t>50 metre Roll AC Drain Pipe (20 mm)</t>
  </si>
  <si>
    <t>Burhani Trading Company</t>
  </si>
  <si>
    <t>PVC Inlet Pipe (3 metre)</t>
  </si>
  <si>
    <t>27ADAPJ9760B1ZP</t>
  </si>
  <si>
    <t>Sandhurst Road</t>
  </si>
  <si>
    <t>770/24-25</t>
  </si>
  <si>
    <t>Air Cool Sales Corporation</t>
  </si>
  <si>
    <t>Galaxy AC Stand</t>
  </si>
  <si>
    <t>NM</t>
  </si>
  <si>
    <t>27AEKPA5050L1ZI</t>
  </si>
  <si>
    <t>Panvel</t>
  </si>
  <si>
    <t>022 27466881</t>
  </si>
  <si>
    <t>aircoolsalescorp@gmail.com</t>
  </si>
  <si>
    <t>LG NEW COMPRESSOR</t>
  </si>
  <si>
    <t>JDR/2024-25/218</t>
  </si>
  <si>
    <t>Jai Durga Refrigeration</t>
  </si>
  <si>
    <t>Condensor 165L</t>
  </si>
  <si>
    <t>Condensor 200L</t>
  </si>
  <si>
    <t>Condensor 300L</t>
  </si>
  <si>
    <t>27BBJPM2175B1ZT</t>
  </si>
  <si>
    <t>Nallasopara (East)</t>
  </si>
  <si>
    <t>9221040724 / 8408873761</t>
  </si>
  <si>
    <t>GST/172/24-25</t>
  </si>
  <si>
    <t>Split Valve 3/4</t>
  </si>
  <si>
    <t>Cleaning Brush</t>
  </si>
  <si>
    <t>G.S.T No. / CIN</t>
  </si>
  <si>
    <t>GST/177/24-25</t>
  </si>
  <si>
    <t>SF - 4E - 400 mm</t>
  </si>
  <si>
    <t>R134A CAN 450 GRAM</t>
  </si>
  <si>
    <t>SP MCB MIX 6-32 AMP B</t>
  </si>
  <si>
    <t>P 1.50 SQMM (300 metre)</t>
  </si>
  <si>
    <t>P 1.00 SQMM (300 metre)</t>
  </si>
  <si>
    <t>GST/191/24-25</t>
  </si>
  <si>
    <t>Marathon Motar GM-110</t>
  </si>
  <si>
    <t>SDS-103/24-25</t>
  </si>
  <si>
    <t>SS Pipes</t>
  </si>
  <si>
    <t>Electrodes</t>
  </si>
  <si>
    <t>SS Fittings</t>
  </si>
  <si>
    <t>SS Fitting - Nut &amp; Bolt</t>
  </si>
  <si>
    <t>733/24-25</t>
  </si>
  <si>
    <t>1.50 SQMM (F)</t>
  </si>
  <si>
    <t>2.50 SQMM (F)</t>
  </si>
  <si>
    <t>SM/1311/24-25</t>
  </si>
  <si>
    <t>Sun Metals</t>
  </si>
  <si>
    <t>Copper Tubes</t>
  </si>
  <si>
    <t>27AAEPK3385L1ZC</t>
  </si>
  <si>
    <t>Ram Mandir</t>
  </si>
  <si>
    <t>sunmetals7@gmail.com</t>
  </si>
  <si>
    <t>MEC/2425/341</t>
  </si>
  <si>
    <t>Marconi Engineering Co.</t>
  </si>
  <si>
    <t>Sarda 4 Mfd 440 V AL</t>
  </si>
  <si>
    <t>Sarda 5 Mfd 440 V AL</t>
  </si>
  <si>
    <t>Sarda 10 Mfd 440 V AL</t>
  </si>
  <si>
    <t>27AACPS9068E1ZD</t>
  </si>
  <si>
    <t>Fort, Mumbai</t>
  </si>
  <si>
    <t>022 22671792</t>
  </si>
  <si>
    <t>marconiengg2023@gmail.com</t>
  </si>
  <si>
    <t>507670 4W TPN DD DB Legrand</t>
  </si>
  <si>
    <t>572063 20A Switch IND</t>
  </si>
  <si>
    <t>572563 20A Switch With IND</t>
  </si>
  <si>
    <t>180M 1.0 SQMM</t>
  </si>
  <si>
    <t>8080081448 / 9920820552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</si>
</sst>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3" borderId="0" xfId="0" applyFill="1" applyBorder="1"/>
    <xf numFmtId="17" fontId="3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12" fontId="0" fillId="0" borderId="1" xfId="1" applyNumberFormat="1" applyFon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2" xfId="0" quotePrefix="1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320"/>
  <sheetViews>
    <sheetView tabSelected="1" topLeftCell="A244" workbookViewId="0">
      <selection activeCell="G261" sqref="G261"/>
    </sheetView>
  </sheetViews>
  <sheetFormatPr defaultRowHeight="15" x14ac:dyDescent="0.25"/>
  <cols>
    <col min="2" max="2" width="9.140625" style="4"/>
    <col min="5" max="5" width="17.5703125" style="4" bestFit="1" customWidth="1"/>
    <col min="6" max="6" width="20.140625" style="4" bestFit="1" customWidth="1"/>
    <col min="7" max="7" width="29.140625" style="4" bestFit="1" customWidth="1"/>
    <col min="8" max="8" width="47.42578125" style="11" bestFit="1" customWidth="1"/>
    <col min="9" max="10" width="10.5703125" style="4" bestFit="1" customWidth="1"/>
    <col min="11" max="11" width="13.28515625" style="4" bestFit="1" customWidth="1"/>
    <col min="12" max="12" width="9.140625" style="4"/>
    <col min="13" max="13" width="18.42578125" style="4" bestFit="1" customWidth="1"/>
    <col min="14" max="14" width="13" style="4" customWidth="1"/>
    <col min="15" max="15" width="16.42578125" style="4" bestFit="1" customWidth="1"/>
    <col min="16" max="16" width="31.7109375" bestFit="1" customWidth="1"/>
  </cols>
  <sheetData>
    <row r="2" spans="2:16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381</v>
      </c>
      <c r="N2" s="2" t="s">
        <v>11</v>
      </c>
      <c r="O2" s="2" t="s">
        <v>12</v>
      </c>
      <c r="P2" s="2" t="s">
        <v>13</v>
      </c>
    </row>
    <row r="3" spans="2:16" x14ac:dyDescent="0.25">
      <c r="B3" s="3">
        <v>1</v>
      </c>
      <c r="C3" s="8" t="s">
        <v>14</v>
      </c>
      <c r="D3" s="8" t="s">
        <v>15</v>
      </c>
      <c r="E3" s="9">
        <v>45808</v>
      </c>
      <c r="F3" s="3">
        <v>4531</v>
      </c>
      <c r="G3" s="3" t="s">
        <v>16</v>
      </c>
      <c r="H3" s="8" t="s">
        <v>17</v>
      </c>
      <c r="I3" s="5">
        <v>191</v>
      </c>
      <c r="J3" s="5">
        <v>64.900000000000006</v>
      </c>
      <c r="K3" s="5">
        <f>I3*J3</f>
        <v>12395.900000000001</v>
      </c>
      <c r="L3" s="3" t="s">
        <v>18</v>
      </c>
      <c r="M3" s="3" t="s">
        <v>19</v>
      </c>
      <c r="N3" s="3" t="s">
        <v>20</v>
      </c>
      <c r="O3" s="7">
        <v>8369879635</v>
      </c>
      <c r="P3" s="6" t="s">
        <v>21</v>
      </c>
    </row>
    <row r="4" spans="2:16" x14ac:dyDescent="0.25">
      <c r="B4" s="3">
        <f>B3+1</f>
        <v>2</v>
      </c>
      <c r="C4" s="8" t="s">
        <v>22</v>
      </c>
      <c r="D4" s="3">
        <v>873912</v>
      </c>
      <c r="E4" s="9">
        <v>46002</v>
      </c>
      <c r="F4" s="3" t="s">
        <v>23</v>
      </c>
      <c r="G4" s="3" t="s">
        <v>24</v>
      </c>
      <c r="H4" s="10" t="s">
        <v>25</v>
      </c>
      <c r="I4" s="5">
        <v>4850</v>
      </c>
      <c r="J4" s="5">
        <v>5</v>
      </c>
      <c r="K4" s="5">
        <f t="shared" ref="K4:K22" si="0">I4*J4</f>
        <v>24250</v>
      </c>
      <c r="L4" s="3" t="s">
        <v>26</v>
      </c>
      <c r="M4" s="3" t="s">
        <v>27</v>
      </c>
      <c r="N4" s="3" t="s">
        <v>28</v>
      </c>
      <c r="O4" s="3">
        <v>7400422263</v>
      </c>
      <c r="P4" s="6" t="s">
        <v>29</v>
      </c>
    </row>
    <row r="5" spans="2:16" x14ac:dyDescent="0.25">
      <c r="B5" s="34">
        <f t="shared" ref="B5" si="1">B4+1</f>
        <v>3</v>
      </c>
      <c r="C5" s="40"/>
      <c r="D5" s="40"/>
      <c r="E5" s="37">
        <v>46010</v>
      </c>
      <c r="F5" s="34">
        <v>2870</v>
      </c>
      <c r="G5" s="34" t="s">
        <v>30</v>
      </c>
      <c r="H5" s="10" t="s">
        <v>31</v>
      </c>
      <c r="I5" s="5">
        <v>7748.18</v>
      </c>
      <c r="J5" s="5">
        <v>48</v>
      </c>
      <c r="K5" s="5">
        <f t="shared" si="0"/>
        <v>371912.64</v>
      </c>
      <c r="L5" s="3" t="s">
        <v>33</v>
      </c>
      <c r="M5" s="34" t="s">
        <v>34</v>
      </c>
      <c r="N5" s="44" t="s">
        <v>35</v>
      </c>
      <c r="O5" s="3">
        <v>9920820552</v>
      </c>
      <c r="P5" s="51" t="s">
        <v>36</v>
      </c>
    </row>
    <row r="6" spans="2:16" x14ac:dyDescent="0.25">
      <c r="B6" s="36"/>
      <c r="C6" s="41"/>
      <c r="D6" s="41"/>
      <c r="E6" s="39"/>
      <c r="F6" s="36"/>
      <c r="G6" s="36"/>
      <c r="H6" s="8" t="s">
        <v>32</v>
      </c>
      <c r="I6" s="5">
        <v>4614.3999999999996</v>
      </c>
      <c r="J6" s="5">
        <v>12</v>
      </c>
      <c r="K6" s="5">
        <f t="shared" si="0"/>
        <v>55372.799999999996</v>
      </c>
      <c r="L6" s="3" t="s">
        <v>33</v>
      </c>
      <c r="M6" s="36"/>
      <c r="N6" s="45"/>
      <c r="O6" s="3">
        <v>8080081448</v>
      </c>
      <c r="P6" s="51"/>
    </row>
    <row r="7" spans="2:16" x14ac:dyDescent="0.25">
      <c r="B7" s="34">
        <v>4</v>
      </c>
      <c r="C7" s="40"/>
      <c r="D7" s="40"/>
      <c r="E7" s="37">
        <v>46022</v>
      </c>
      <c r="F7" s="34">
        <v>3029</v>
      </c>
      <c r="G7" s="34" t="s">
        <v>30</v>
      </c>
      <c r="H7" s="8" t="s">
        <v>37</v>
      </c>
      <c r="I7" s="5">
        <v>2128</v>
      </c>
      <c r="J7" s="5">
        <v>88</v>
      </c>
      <c r="K7" s="5">
        <f t="shared" si="0"/>
        <v>187264</v>
      </c>
      <c r="L7" s="34" t="s">
        <v>33</v>
      </c>
      <c r="M7" s="34" t="str">
        <f>M5</f>
        <v>27AKQPJ6469A1ZW</v>
      </c>
      <c r="N7" s="44" t="str">
        <f>N5</f>
        <v>Marine Lines</v>
      </c>
      <c r="O7" s="3">
        <v>9920820552</v>
      </c>
      <c r="P7" s="52" t="str">
        <f>P5</f>
        <v>theabhishekagencies@gmail.com</v>
      </c>
    </row>
    <row r="8" spans="2:16" x14ac:dyDescent="0.25">
      <c r="B8" s="35"/>
      <c r="C8" s="46"/>
      <c r="D8" s="46"/>
      <c r="E8" s="35"/>
      <c r="F8" s="35"/>
      <c r="G8" s="35"/>
      <c r="H8" s="8" t="s">
        <v>38</v>
      </c>
      <c r="I8" s="5">
        <v>3108</v>
      </c>
      <c r="J8" s="5">
        <v>91</v>
      </c>
      <c r="K8" s="5">
        <f t="shared" si="0"/>
        <v>282828</v>
      </c>
      <c r="L8" s="35"/>
      <c r="M8" s="35"/>
      <c r="N8" s="50"/>
      <c r="O8" s="34">
        <v>8080081448</v>
      </c>
      <c r="P8" s="53"/>
    </row>
    <row r="9" spans="2:16" x14ac:dyDescent="0.25">
      <c r="B9" s="36"/>
      <c r="C9" s="41"/>
      <c r="D9" s="41"/>
      <c r="E9" s="36"/>
      <c r="F9" s="36"/>
      <c r="G9" s="36"/>
      <c r="H9" s="8" t="s">
        <v>39</v>
      </c>
      <c r="I9" s="5">
        <v>7820.4</v>
      </c>
      <c r="J9" s="5">
        <v>36</v>
      </c>
      <c r="K9" s="5">
        <f t="shared" si="0"/>
        <v>281534.39999999997</v>
      </c>
      <c r="L9" s="36"/>
      <c r="M9" s="36"/>
      <c r="N9" s="45"/>
      <c r="O9" s="36"/>
      <c r="P9" s="54"/>
    </row>
    <row r="10" spans="2:16" ht="30" x14ac:dyDescent="0.25">
      <c r="B10" s="3">
        <v>5</v>
      </c>
      <c r="C10" s="1"/>
      <c r="D10" s="1"/>
      <c r="E10" s="9">
        <v>46011</v>
      </c>
      <c r="F10" s="3" t="s">
        <v>40</v>
      </c>
      <c r="G10" s="3" t="s">
        <v>41</v>
      </c>
      <c r="H10" s="8" t="s">
        <v>42</v>
      </c>
      <c r="I10" s="5">
        <v>850</v>
      </c>
      <c r="J10" s="5">
        <v>50</v>
      </c>
      <c r="K10" s="5">
        <f t="shared" si="0"/>
        <v>42500</v>
      </c>
      <c r="L10" s="3" t="s">
        <v>18</v>
      </c>
      <c r="M10" s="3" t="s">
        <v>43</v>
      </c>
      <c r="N10" s="7" t="s">
        <v>44</v>
      </c>
      <c r="O10" s="3">
        <v>9426013792</v>
      </c>
      <c r="P10" s="6" t="s">
        <v>45</v>
      </c>
    </row>
    <row r="11" spans="2:16" x14ac:dyDescent="0.25">
      <c r="B11" s="34">
        <v>6</v>
      </c>
      <c r="C11" s="40"/>
      <c r="D11" s="40"/>
      <c r="E11" s="37">
        <v>46010</v>
      </c>
      <c r="F11" s="34">
        <v>2714</v>
      </c>
      <c r="G11" s="34" t="s">
        <v>46</v>
      </c>
      <c r="H11" s="8" t="s">
        <v>47</v>
      </c>
      <c r="I11" s="5">
        <v>3127.16</v>
      </c>
      <c r="J11" s="5">
        <v>48</v>
      </c>
      <c r="K11" s="5">
        <f t="shared" si="0"/>
        <v>150103.67999999999</v>
      </c>
      <c r="L11" s="34" t="s">
        <v>33</v>
      </c>
      <c r="M11" s="34" t="s">
        <v>49</v>
      </c>
      <c r="N11" s="44" t="s">
        <v>35</v>
      </c>
      <c r="O11" s="3">
        <v>8080081448</v>
      </c>
      <c r="P11" s="51" t="s">
        <v>50</v>
      </c>
    </row>
    <row r="12" spans="2:16" x14ac:dyDescent="0.25">
      <c r="B12" s="36"/>
      <c r="C12" s="41"/>
      <c r="D12" s="41"/>
      <c r="E12" s="39"/>
      <c r="F12" s="36"/>
      <c r="G12" s="36"/>
      <c r="H12" s="8" t="s">
        <v>48</v>
      </c>
      <c r="I12" s="5">
        <v>7419.5</v>
      </c>
      <c r="J12" s="5">
        <v>40</v>
      </c>
      <c r="K12" s="5">
        <f t="shared" si="0"/>
        <v>296780</v>
      </c>
      <c r="L12" s="36"/>
      <c r="M12" s="36"/>
      <c r="N12" s="45"/>
      <c r="O12" s="3">
        <v>9920820552</v>
      </c>
      <c r="P12" s="51"/>
    </row>
    <row r="13" spans="2:16" x14ac:dyDescent="0.25">
      <c r="B13" s="34">
        <v>7</v>
      </c>
      <c r="C13" s="40"/>
      <c r="D13" s="40"/>
      <c r="E13" s="37">
        <v>46009</v>
      </c>
      <c r="F13" s="34">
        <v>2701</v>
      </c>
      <c r="G13" s="34" t="str">
        <f>G11</f>
        <v>Abhishek Electricals</v>
      </c>
      <c r="H13" s="8" t="s">
        <v>47</v>
      </c>
      <c r="I13" s="5">
        <v>3127.16</v>
      </c>
      <c r="J13" s="5">
        <v>80</v>
      </c>
      <c r="K13" s="5">
        <f t="shared" si="0"/>
        <v>250172.79999999999</v>
      </c>
      <c r="L13" s="34" t="s">
        <v>33</v>
      </c>
      <c r="M13" s="34" t="s">
        <v>49</v>
      </c>
      <c r="N13" s="44" t="s">
        <v>35</v>
      </c>
      <c r="O13" s="3">
        <v>8080081448</v>
      </c>
      <c r="P13" s="51" t="s">
        <v>50</v>
      </c>
    </row>
    <row r="14" spans="2:16" x14ac:dyDescent="0.25">
      <c r="B14" s="36"/>
      <c r="C14" s="41"/>
      <c r="D14" s="41"/>
      <c r="E14" s="39"/>
      <c r="F14" s="36"/>
      <c r="G14" s="36"/>
      <c r="H14" s="8" t="s">
        <v>48</v>
      </c>
      <c r="I14" s="5">
        <v>7419.5</v>
      </c>
      <c r="J14" s="5">
        <v>36</v>
      </c>
      <c r="K14" s="5">
        <f t="shared" si="0"/>
        <v>267102</v>
      </c>
      <c r="L14" s="36"/>
      <c r="M14" s="36"/>
      <c r="N14" s="45"/>
      <c r="O14" s="3">
        <v>9920820552</v>
      </c>
      <c r="P14" s="51"/>
    </row>
    <row r="15" spans="2:16" x14ac:dyDescent="0.25">
      <c r="B15" s="34">
        <v>8</v>
      </c>
      <c r="C15" s="40"/>
      <c r="D15" s="40"/>
      <c r="E15" s="37">
        <v>46009</v>
      </c>
      <c r="F15" s="34">
        <v>2859</v>
      </c>
      <c r="G15" s="34" t="s">
        <v>30</v>
      </c>
      <c r="H15" s="8" t="s">
        <v>31</v>
      </c>
      <c r="I15" s="5">
        <v>7748.18</v>
      </c>
      <c r="J15" s="5">
        <v>48</v>
      </c>
      <c r="K15" s="5">
        <f t="shared" si="0"/>
        <v>371912.64</v>
      </c>
      <c r="L15" s="34" t="s">
        <v>33</v>
      </c>
      <c r="M15" s="34" t="s">
        <v>34</v>
      </c>
      <c r="N15" s="34" t="s">
        <v>35</v>
      </c>
      <c r="O15" s="3">
        <v>9920820552</v>
      </c>
      <c r="P15" s="51" t="s">
        <v>36</v>
      </c>
    </row>
    <row r="16" spans="2:16" x14ac:dyDescent="0.25">
      <c r="B16" s="36"/>
      <c r="C16" s="41"/>
      <c r="D16" s="41"/>
      <c r="E16" s="39"/>
      <c r="F16" s="36"/>
      <c r="G16" s="36"/>
      <c r="H16" s="8" t="s">
        <v>32</v>
      </c>
      <c r="I16" s="5">
        <v>4614.3999999999996</v>
      </c>
      <c r="J16" s="5">
        <v>18</v>
      </c>
      <c r="K16" s="5">
        <f t="shared" si="0"/>
        <v>83059.199999999997</v>
      </c>
      <c r="L16" s="36"/>
      <c r="M16" s="36"/>
      <c r="N16" s="36"/>
      <c r="O16" s="3">
        <v>8080081448</v>
      </c>
      <c r="P16" s="51"/>
    </row>
    <row r="17" spans="2:16" x14ac:dyDescent="0.25">
      <c r="B17" s="34">
        <v>9</v>
      </c>
      <c r="C17" s="40"/>
      <c r="D17" s="40"/>
      <c r="E17" s="37">
        <v>45993</v>
      </c>
      <c r="F17" s="34">
        <v>2527</v>
      </c>
      <c r="G17" s="34" t="str">
        <f>G15</f>
        <v>The Abhishek Agencies</v>
      </c>
      <c r="H17" s="8" t="s">
        <v>51</v>
      </c>
      <c r="I17" s="5">
        <v>3097.24</v>
      </c>
      <c r="J17" s="5">
        <v>80</v>
      </c>
      <c r="K17" s="5">
        <f t="shared" si="0"/>
        <v>247779.19999999998</v>
      </c>
      <c r="L17" s="34" t="s">
        <v>33</v>
      </c>
      <c r="M17" s="34" t="s">
        <v>49</v>
      </c>
      <c r="N17" s="34" t="s">
        <v>35</v>
      </c>
      <c r="O17" s="3">
        <v>8080081448</v>
      </c>
      <c r="P17" s="51" t="s">
        <v>50</v>
      </c>
    </row>
    <row r="18" spans="2:16" x14ac:dyDescent="0.25">
      <c r="B18" s="36"/>
      <c r="C18" s="41"/>
      <c r="D18" s="41"/>
      <c r="E18" s="39"/>
      <c r="F18" s="36"/>
      <c r="G18" s="36"/>
      <c r="H18" s="8" t="s">
        <v>52</v>
      </c>
      <c r="I18" s="5">
        <v>7348.5</v>
      </c>
      <c r="J18" s="5">
        <v>100</v>
      </c>
      <c r="K18" s="5">
        <f t="shared" si="0"/>
        <v>734850</v>
      </c>
      <c r="L18" s="36"/>
      <c r="M18" s="36"/>
      <c r="N18" s="36"/>
      <c r="O18" s="3">
        <v>9920820552</v>
      </c>
      <c r="P18" s="51"/>
    </row>
    <row r="19" spans="2:16" x14ac:dyDescent="0.25">
      <c r="B19" s="34">
        <v>10</v>
      </c>
      <c r="C19" s="40"/>
      <c r="D19" s="40"/>
      <c r="E19" s="37">
        <v>45971</v>
      </c>
      <c r="F19" s="34">
        <v>461</v>
      </c>
      <c r="G19" s="34" t="s">
        <v>53</v>
      </c>
      <c r="H19" s="8" t="s">
        <v>54</v>
      </c>
      <c r="I19" s="5">
        <v>730</v>
      </c>
      <c r="J19" s="5">
        <v>100</v>
      </c>
      <c r="K19" s="5">
        <f t="shared" si="0"/>
        <v>73000</v>
      </c>
      <c r="L19" s="34" t="s">
        <v>26</v>
      </c>
      <c r="M19" s="34" t="s">
        <v>58</v>
      </c>
      <c r="N19" s="44" t="s">
        <v>59</v>
      </c>
      <c r="O19" s="34">
        <v>9825800602</v>
      </c>
      <c r="P19" s="51" t="s">
        <v>60</v>
      </c>
    </row>
    <row r="20" spans="2:16" x14ac:dyDescent="0.25">
      <c r="B20" s="35"/>
      <c r="C20" s="46"/>
      <c r="D20" s="46"/>
      <c r="E20" s="38"/>
      <c r="F20" s="35"/>
      <c r="G20" s="35"/>
      <c r="H20" s="8" t="s">
        <v>55</v>
      </c>
      <c r="I20" s="5">
        <v>850</v>
      </c>
      <c r="J20" s="5">
        <v>100</v>
      </c>
      <c r="K20" s="5">
        <f t="shared" si="0"/>
        <v>85000</v>
      </c>
      <c r="L20" s="35"/>
      <c r="M20" s="35"/>
      <c r="N20" s="50"/>
      <c r="O20" s="35"/>
      <c r="P20" s="51"/>
    </row>
    <row r="21" spans="2:16" x14ac:dyDescent="0.25">
      <c r="B21" s="35"/>
      <c r="C21" s="46"/>
      <c r="D21" s="46"/>
      <c r="E21" s="38"/>
      <c r="F21" s="35"/>
      <c r="G21" s="35"/>
      <c r="H21" s="8" t="s">
        <v>56</v>
      </c>
      <c r="I21" s="5">
        <v>620</v>
      </c>
      <c r="J21" s="5">
        <v>50</v>
      </c>
      <c r="K21" s="5">
        <f t="shared" si="0"/>
        <v>31000</v>
      </c>
      <c r="L21" s="35"/>
      <c r="M21" s="35"/>
      <c r="N21" s="50"/>
      <c r="O21" s="35"/>
      <c r="P21" s="52" t="s">
        <v>61</v>
      </c>
    </row>
    <row r="22" spans="2:16" x14ac:dyDescent="0.25">
      <c r="B22" s="36"/>
      <c r="C22" s="41"/>
      <c r="D22" s="41"/>
      <c r="E22" s="39"/>
      <c r="F22" s="36"/>
      <c r="G22" s="36"/>
      <c r="H22" s="8" t="s">
        <v>57</v>
      </c>
      <c r="I22" s="5">
        <v>875</v>
      </c>
      <c r="J22" s="5">
        <v>10</v>
      </c>
      <c r="K22" s="5">
        <f t="shared" si="0"/>
        <v>8750</v>
      </c>
      <c r="L22" s="36"/>
      <c r="M22" s="36"/>
      <c r="N22" s="45"/>
      <c r="O22" s="36"/>
      <c r="P22" s="54"/>
    </row>
    <row r="23" spans="2:16" x14ac:dyDescent="0.25">
      <c r="B23" s="34">
        <v>11</v>
      </c>
      <c r="C23" s="40"/>
      <c r="D23" s="40"/>
      <c r="E23" s="37">
        <v>45987</v>
      </c>
      <c r="F23" s="34">
        <v>463</v>
      </c>
      <c r="G23" s="34" t="s">
        <v>62</v>
      </c>
      <c r="H23" s="8" t="s">
        <v>63</v>
      </c>
      <c r="I23" s="5">
        <v>2350</v>
      </c>
      <c r="J23" s="5">
        <v>5</v>
      </c>
      <c r="K23" s="5">
        <f>I23*J23</f>
        <v>11750</v>
      </c>
      <c r="L23" s="34" t="s">
        <v>26</v>
      </c>
      <c r="M23" s="34" t="s">
        <v>68</v>
      </c>
      <c r="N23" s="34" t="s">
        <v>69</v>
      </c>
      <c r="O23" s="34" t="s">
        <v>70</v>
      </c>
      <c r="P23" s="52" t="s">
        <v>71</v>
      </c>
    </row>
    <row r="24" spans="2:16" x14ac:dyDescent="0.25">
      <c r="B24" s="35"/>
      <c r="C24" s="46"/>
      <c r="D24" s="46"/>
      <c r="E24" s="38"/>
      <c r="F24" s="35"/>
      <c r="G24" s="35"/>
      <c r="H24" s="8" t="s">
        <v>64</v>
      </c>
      <c r="I24" s="5">
        <v>2350</v>
      </c>
      <c r="J24" s="5">
        <v>5</v>
      </c>
      <c r="K24" s="5">
        <f>I24*J24</f>
        <v>11750</v>
      </c>
      <c r="L24" s="35"/>
      <c r="M24" s="35"/>
      <c r="N24" s="35"/>
      <c r="O24" s="35"/>
      <c r="P24" s="53"/>
    </row>
    <row r="25" spans="2:16" x14ac:dyDescent="0.25">
      <c r="B25" s="35"/>
      <c r="C25" s="46"/>
      <c r="D25" s="46"/>
      <c r="E25" s="38"/>
      <c r="F25" s="35"/>
      <c r="G25" s="35"/>
      <c r="H25" s="8" t="s">
        <v>65</v>
      </c>
      <c r="I25" s="5">
        <v>2350</v>
      </c>
      <c r="J25" s="5">
        <v>5</v>
      </c>
      <c r="K25" s="5">
        <f t="shared" ref="K25:K51" si="2">I25*J25</f>
        <v>11750</v>
      </c>
      <c r="L25" s="35"/>
      <c r="M25" s="35"/>
      <c r="N25" s="35"/>
      <c r="O25" s="35"/>
      <c r="P25" s="53"/>
    </row>
    <row r="26" spans="2:16" x14ac:dyDescent="0.25">
      <c r="B26" s="35"/>
      <c r="C26" s="46"/>
      <c r="D26" s="46"/>
      <c r="E26" s="38"/>
      <c r="F26" s="35"/>
      <c r="G26" s="35"/>
      <c r="H26" s="8" t="s">
        <v>66</v>
      </c>
      <c r="I26" s="5">
        <v>15</v>
      </c>
      <c r="J26" s="5">
        <v>60</v>
      </c>
      <c r="K26" s="5">
        <f t="shared" si="2"/>
        <v>900</v>
      </c>
      <c r="L26" s="35"/>
      <c r="M26" s="35"/>
      <c r="N26" s="35"/>
      <c r="O26" s="35"/>
      <c r="P26" s="53"/>
    </row>
    <row r="27" spans="2:16" x14ac:dyDescent="0.25">
      <c r="B27" s="36"/>
      <c r="C27" s="41"/>
      <c r="D27" s="41"/>
      <c r="E27" s="39"/>
      <c r="F27" s="36"/>
      <c r="G27" s="36"/>
      <c r="H27" s="8" t="s">
        <v>67</v>
      </c>
      <c r="I27" s="5">
        <v>4000</v>
      </c>
      <c r="J27" s="5">
        <v>1</v>
      </c>
      <c r="K27" s="5">
        <f t="shared" si="2"/>
        <v>4000</v>
      </c>
      <c r="L27" s="36"/>
      <c r="M27" s="36"/>
      <c r="N27" s="36"/>
      <c r="O27" s="36"/>
      <c r="P27" s="54"/>
    </row>
    <row r="28" spans="2:16" x14ac:dyDescent="0.25">
      <c r="B28" s="3">
        <v>12</v>
      </c>
      <c r="C28" s="1"/>
      <c r="D28" s="1"/>
      <c r="E28" s="9">
        <v>45954</v>
      </c>
      <c r="F28" s="3" t="s">
        <v>72</v>
      </c>
      <c r="G28" s="3" t="s">
        <v>73</v>
      </c>
      <c r="H28" s="8" t="s">
        <v>74</v>
      </c>
      <c r="I28" s="5">
        <v>3500</v>
      </c>
      <c r="J28" s="5">
        <v>1</v>
      </c>
      <c r="K28" s="5">
        <f t="shared" si="2"/>
        <v>3500</v>
      </c>
      <c r="L28" s="3" t="s">
        <v>26</v>
      </c>
      <c r="M28" s="3" t="s">
        <v>75</v>
      </c>
      <c r="N28" s="3" t="s">
        <v>76</v>
      </c>
      <c r="O28" s="12" t="s">
        <v>77</v>
      </c>
      <c r="P28" s="1" t="s">
        <v>78</v>
      </c>
    </row>
    <row r="29" spans="2:16" x14ac:dyDescent="0.25">
      <c r="B29" s="3">
        <v>13</v>
      </c>
      <c r="C29" s="1"/>
      <c r="D29" s="1"/>
      <c r="E29" s="9">
        <v>45943</v>
      </c>
      <c r="F29" s="3" t="s">
        <v>79</v>
      </c>
      <c r="G29" s="3" t="s">
        <v>80</v>
      </c>
      <c r="H29" s="8" t="s">
        <v>81</v>
      </c>
      <c r="I29" s="5">
        <v>2250</v>
      </c>
      <c r="J29" s="5">
        <v>1</v>
      </c>
      <c r="K29" s="5">
        <f t="shared" si="2"/>
        <v>2250</v>
      </c>
      <c r="L29" s="3" t="s">
        <v>82</v>
      </c>
      <c r="M29" s="3" t="s">
        <v>83</v>
      </c>
      <c r="N29" s="3" t="s">
        <v>76</v>
      </c>
      <c r="O29" s="3">
        <v>9619481333</v>
      </c>
      <c r="P29" s="1" t="s">
        <v>84</v>
      </c>
    </row>
    <row r="30" spans="2:16" x14ac:dyDescent="0.25">
      <c r="B30" s="34">
        <v>14</v>
      </c>
      <c r="C30" s="40"/>
      <c r="D30" s="40"/>
      <c r="E30" s="37">
        <v>45934</v>
      </c>
      <c r="F30" s="34" t="s">
        <v>85</v>
      </c>
      <c r="G30" s="34" t="s">
        <v>86</v>
      </c>
      <c r="H30" s="8" t="s">
        <v>87</v>
      </c>
      <c r="I30" s="5">
        <v>460.92</v>
      </c>
      <c r="J30" s="5">
        <v>1100</v>
      </c>
      <c r="K30" s="5">
        <f t="shared" si="2"/>
        <v>507012</v>
      </c>
      <c r="L30" s="34" t="s">
        <v>18</v>
      </c>
      <c r="M30" s="34" t="s">
        <v>89</v>
      </c>
      <c r="N30" s="34" t="s">
        <v>90</v>
      </c>
      <c r="O30" s="34">
        <v>9769894209</v>
      </c>
      <c r="P30" s="55" t="s">
        <v>91</v>
      </c>
    </row>
    <row r="31" spans="2:16" x14ac:dyDescent="0.25">
      <c r="B31" s="36"/>
      <c r="C31" s="41"/>
      <c r="D31" s="41"/>
      <c r="E31" s="39"/>
      <c r="F31" s="36"/>
      <c r="G31" s="36"/>
      <c r="H31" s="8" t="s">
        <v>88</v>
      </c>
      <c r="I31" s="5">
        <v>393.48</v>
      </c>
      <c r="J31" s="5">
        <v>1100</v>
      </c>
      <c r="K31" s="5">
        <f t="shared" si="2"/>
        <v>432828</v>
      </c>
      <c r="L31" s="36"/>
      <c r="M31" s="36"/>
      <c r="N31" s="36"/>
      <c r="O31" s="36"/>
      <c r="P31" s="56"/>
    </row>
    <row r="32" spans="2:16" x14ac:dyDescent="0.25">
      <c r="B32" s="34">
        <v>15</v>
      </c>
      <c r="C32" s="40"/>
      <c r="D32" s="40"/>
      <c r="E32" s="37">
        <v>45936</v>
      </c>
      <c r="F32" s="34">
        <v>2089</v>
      </c>
      <c r="G32" s="34" t="s">
        <v>30</v>
      </c>
      <c r="H32" s="8" t="s">
        <v>92</v>
      </c>
      <c r="I32" s="5">
        <v>97</v>
      </c>
      <c r="J32" s="5">
        <v>1200</v>
      </c>
      <c r="K32" s="5">
        <f t="shared" si="2"/>
        <v>116400</v>
      </c>
      <c r="L32" s="3" t="s">
        <v>82</v>
      </c>
      <c r="M32" s="34" t="s">
        <v>34</v>
      </c>
      <c r="N32" s="34" t="s">
        <v>35</v>
      </c>
      <c r="O32" s="34">
        <v>9920820552</v>
      </c>
      <c r="P32" s="55" t="s">
        <v>36</v>
      </c>
    </row>
    <row r="33" spans="2:16" x14ac:dyDescent="0.25">
      <c r="B33" s="35"/>
      <c r="C33" s="46"/>
      <c r="D33" s="46"/>
      <c r="E33" s="38"/>
      <c r="F33" s="35"/>
      <c r="G33" s="35"/>
      <c r="H33" s="8" t="s">
        <v>93</v>
      </c>
      <c r="I33" s="5">
        <v>1023.06</v>
      </c>
      <c r="J33" s="5">
        <v>64</v>
      </c>
      <c r="K33" s="5">
        <f t="shared" si="2"/>
        <v>65475.839999999997</v>
      </c>
      <c r="L33" s="3" t="s">
        <v>26</v>
      </c>
      <c r="M33" s="35"/>
      <c r="N33" s="35"/>
      <c r="O33" s="35"/>
      <c r="P33" s="60"/>
    </row>
    <row r="34" spans="2:16" x14ac:dyDescent="0.25">
      <c r="B34" s="35"/>
      <c r="C34" s="46"/>
      <c r="D34" s="46"/>
      <c r="E34" s="38"/>
      <c r="F34" s="35"/>
      <c r="G34" s="35"/>
      <c r="H34" s="8" t="s">
        <v>38</v>
      </c>
      <c r="I34" s="5">
        <v>2507</v>
      </c>
      <c r="J34" s="5">
        <v>60</v>
      </c>
      <c r="K34" s="5">
        <f t="shared" si="2"/>
        <v>150420</v>
      </c>
      <c r="L34" s="34" t="s">
        <v>33</v>
      </c>
      <c r="M34" s="35"/>
      <c r="N34" s="35"/>
      <c r="O34" s="35"/>
      <c r="P34" s="60"/>
    </row>
    <row r="35" spans="2:16" x14ac:dyDescent="0.25">
      <c r="B35" s="35"/>
      <c r="C35" s="46"/>
      <c r="D35" s="46"/>
      <c r="E35" s="38"/>
      <c r="F35" s="35"/>
      <c r="G35" s="35"/>
      <c r="H35" s="8" t="s">
        <v>94</v>
      </c>
      <c r="I35" s="5">
        <v>4071.38</v>
      </c>
      <c r="J35" s="5">
        <v>24</v>
      </c>
      <c r="K35" s="5">
        <f t="shared" si="2"/>
        <v>97713.12</v>
      </c>
      <c r="L35" s="35"/>
      <c r="M35" s="35"/>
      <c r="N35" s="35"/>
      <c r="O35" s="35"/>
      <c r="P35" s="60"/>
    </row>
    <row r="36" spans="2:16" x14ac:dyDescent="0.25">
      <c r="B36" s="36"/>
      <c r="C36" s="41"/>
      <c r="D36" s="41"/>
      <c r="E36" s="39"/>
      <c r="F36" s="36"/>
      <c r="G36" s="36"/>
      <c r="H36" s="8" t="s">
        <v>39</v>
      </c>
      <c r="I36" s="5">
        <v>6077.68</v>
      </c>
      <c r="J36" s="5">
        <v>12</v>
      </c>
      <c r="K36" s="5">
        <f t="shared" si="2"/>
        <v>72932.160000000003</v>
      </c>
      <c r="L36" s="36"/>
      <c r="M36" s="36"/>
      <c r="N36" s="36"/>
      <c r="O36" s="36"/>
      <c r="P36" s="56"/>
    </row>
    <row r="37" spans="2:16" x14ac:dyDescent="0.25">
      <c r="B37" s="34">
        <v>16</v>
      </c>
      <c r="C37" s="40"/>
      <c r="D37" s="40"/>
      <c r="E37" s="37">
        <v>45940</v>
      </c>
      <c r="F37" s="34">
        <v>2033</v>
      </c>
      <c r="G37" s="57" t="s">
        <v>46</v>
      </c>
      <c r="H37" s="8" t="s">
        <v>95</v>
      </c>
      <c r="I37" s="5">
        <v>550.67999999999995</v>
      </c>
      <c r="J37" s="5">
        <v>10</v>
      </c>
      <c r="K37" s="5">
        <f t="shared" si="2"/>
        <v>5506.7999999999993</v>
      </c>
      <c r="L37" s="3" t="s">
        <v>82</v>
      </c>
      <c r="M37" s="34" t="s">
        <v>49</v>
      </c>
      <c r="N37" s="34" t="s">
        <v>35</v>
      </c>
      <c r="O37" s="34">
        <v>8080081448</v>
      </c>
      <c r="P37" s="55" t="s">
        <v>50</v>
      </c>
    </row>
    <row r="38" spans="2:16" x14ac:dyDescent="0.25">
      <c r="B38" s="35"/>
      <c r="C38" s="46"/>
      <c r="D38" s="46"/>
      <c r="E38" s="38"/>
      <c r="F38" s="35"/>
      <c r="G38" s="58"/>
      <c r="H38" s="8" t="s">
        <v>96</v>
      </c>
      <c r="I38" s="5">
        <v>286.26</v>
      </c>
      <c r="J38" s="5">
        <v>10</v>
      </c>
      <c r="K38" s="5">
        <f t="shared" si="2"/>
        <v>2862.6</v>
      </c>
      <c r="L38" s="3" t="s">
        <v>26</v>
      </c>
      <c r="M38" s="35"/>
      <c r="N38" s="35"/>
      <c r="O38" s="35"/>
      <c r="P38" s="60"/>
    </row>
    <row r="39" spans="2:16" x14ac:dyDescent="0.25">
      <c r="B39" s="35"/>
      <c r="C39" s="46"/>
      <c r="D39" s="46"/>
      <c r="E39" s="38"/>
      <c r="F39" s="35"/>
      <c r="G39" s="58"/>
      <c r="H39" s="8" t="s">
        <v>97</v>
      </c>
      <c r="I39" s="5">
        <v>346.32</v>
      </c>
      <c r="J39" s="5">
        <v>10</v>
      </c>
      <c r="K39" s="5">
        <f t="shared" si="2"/>
        <v>3463.2</v>
      </c>
      <c r="L39" s="3" t="s">
        <v>26</v>
      </c>
      <c r="M39" s="35"/>
      <c r="N39" s="35"/>
      <c r="O39" s="35"/>
      <c r="P39" s="60"/>
    </row>
    <row r="40" spans="2:16" x14ac:dyDescent="0.25">
      <c r="B40" s="35"/>
      <c r="C40" s="46"/>
      <c r="D40" s="46"/>
      <c r="E40" s="38"/>
      <c r="F40" s="35"/>
      <c r="G40" s="58"/>
      <c r="H40" s="8" t="s">
        <v>98</v>
      </c>
      <c r="I40" s="5">
        <v>268.32</v>
      </c>
      <c r="J40" s="5">
        <v>20</v>
      </c>
      <c r="K40" s="5">
        <f t="shared" si="2"/>
        <v>5366.4</v>
      </c>
      <c r="L40" s="3" t="s">
        <v>26</v>
      </c>
      <c r="M40" s="35"/>
      <c r="N40" s="35"/>
      <c r="O40" s="35"/>
      <c r="P40" s="60"/>
    </row>
    <row r="41" spans="2:16" x14ac:dyDescent="0.25">
      <c r="B41" s="35"/>
      <c r="C41" s="46"/>
      <c r="D41" s="46"/>
      <c r="E41" s="38"/>
      <c r="F41" s="35"/>
      <c r="G41" s="58"/>
      <c r="H41" s="8" t="s">
        <v>99</v>
      </c>
      <c r="I41" s="5">
        <v>205.92</v>
      </c>
      <c r="J41" s="5">
        <v>20</v>
      </c>
      <c r="K41" s="5">
        <f t="shared" si="2"/>
        <v>4118.3999999999996</v>
      </c>
      <c r="L41" s="3" t="s">
        <v>26</v>
      </c>
      <c r="M41" s="35"/>
      <c r="N41" s="35"/>
      <c r="O41" s="35"/>
      <c r="P41" s="60"/>
    </row>
    <row r="42" spans="2:16" x14ac:dyDescent="0.25">
      <c r="B42" s="35"/>
      <c r="C42" s="46"/>
      <c r="D42" s="46"/>
      <c r="E42" s="38"/>
      <c r="F42" s="35"/>
      <c r="G42" s="58"/>
      <c r="H42" s="8" t="s">
        <v>100</v>
      </c>
      <c r="I42" s="5">
        <v>190.32</v>
      </c>
      <c r="J42" s="5">
        <v>50</v>
      </c>
      <c r="K42" s="5">
        <f t="shared" si="2"/>
        <v>9516</v>
      </c>
      <c r="L42" s="3" t="s">
        <v>26</v>
      </c>
      <c r="M42" s="35"/>
      <c r="N42" s="35"/>
      <c r="O42" s="35"/>
      <c r="P42" s="60"/>
    </row>
    <row r="43" spans="2:16" x14ac:dyDescent="0.25">
      <c r="B43" s="35"/>
      <c r="C43" s="46"/>
      <c r="D43" s="46"/>
      <c r="E43" s="38"/>
      <c r="F43" s="35"/>
      <c r="G43" s="58"/>
      <c r="H43" s="8" t="s">
        <v>101</v>
      </c>
      <c r="I43" s="5">
        <v>94.38</v>
      </c>
      <c r="J43" s="5">
        <v>100</v>
      </c>
      <c r="K43" s="5">
        <f t="shared" si="2"/>
        <v>9438</v>
      </c>
      <c r="L43" s="3" t="s">
        <v>26</v>
      </c>
      <c r="M43" s="35"/>
      <c r="N43" s="35"/>
      <c r="O43" s="35"/>
      <c r="P43" s="60"/>
    </row>
    <row r="44" spans="2:16" x14ac:dyDescent="0.25">
      <c r="B44" s="35"/>
      <c r="C44" s="46"/>
      <c r="D44" s="46"/>
      <c r="E44" s="38"/>
      <c r="F44" s="35"/>
      <c r="G44" s="58"/>
      <c r="H44" s="8" t="s">
        <v>102</v>
      </c>
      <c r="I44" s="5">
        <v>236.34</v>
      </c>
      <c r="J44" s="5">
        <v>50</v>
      </c>
      <c r="K44" s="5">
        <f t="shared" si="2"/>
        <v>11817</v>
      </c>
      <c r="L44" s="3" t="s">
        <v>26</v>
      </c>
      <c r="M44" s="35"/>
      <c r="N44" s="35"/>
      <c r="O44" s="35"/>
      <c r="P44" s="60"/>
    </row>
    <row r="45" spans="2:16" x14ac:dyDescent="0.25">
      <c r="B45" s="35"/>
      <c r="C45" s="46"/>
      <c r="D45" s="46"/>
      <c r="E45" s="38"/>
      <c r="F45" s="35"/>
      <c r="G45" s="58"/>
      <c r="H45" s="8" t="s">
        <v>103</v>
      </c>
      <c r="I45" s="5">
        <v>35.549999999999997</v>
      </c>
      <c r="J45" s="5">
        <v>600</v>
      </c>
      <c r="K45" s="5">
        <f t="shared" si="2"/>
        <v>21330</v>
      </c>
      <c r="L45" s="3" t="s">
        <v>26</v>
      </c>
      <c r="M45" s="35"/>
      <c r="N45" s="35"/>
      <c r="O45" s="35"/>
      <c r="P45" s="60"/>
    </row>
    <row r="46" spans="2:16" x14ac:dyDescent="0.25">
      <c r="B46" s="35"/>
      <c r="C46" s="46"/>
      <c r="D46" s="46"/>
      <c r="E46" s="38"/>
      <c r="F46" s="35"/>
      <c r="G46" s="58"/>
      <c r="H46" s="8" t="s">
        <v>104</v>
      </c>
      <c r="I46" s="5">
        <v>54</v>
      </c>
      <c r="J46" s="5">
        <v>400</v>
      </c>
      <c r="K46" s="5">
        <f t="shared" si="2"/>
        <v>21600</v>
      </c>
      <c r="L46" s="3" t="s">
        <v>26</v>
      </c>
      <c r="M46" s="35"/>
      <c r="N46" s="35"/>
      <c r="O46" s="35"/>
      <c r="P46" s="60"/>
    </row>
    <row r="47" spans="2:16" x14ac:dyDescent="0.25">
      <c r="B47" s="35"/>
      <c r="C47" s="46"/>
      <c r="D47" s="46"/>
      <c r="E47" s="38"/>
      <c r="F47" s="35"/>
      <c r="G47" s="58"/>
      <c r="H47" s="8" t="s">
        <v>105</v>
      </c>
      <c r="I47" s="5">
        <v>81.45</v>
      </c>
      <c r="J47" s="5">
        <v>200</v>
      </c>
      <c r="K47" s="5">
        <f t="shared" si="2"/>
        <v>16290</v>
      </c>
      <c r="L47" s="3" t="s">
        <v>26</v>
      </c>
      <c r="M47" s="35"/>
      <c r="N47" s="35"/>
      <c r="O47" s="35"/>
      <c r="P47" s="60"/>
    </row>
    <row r="48" spans="2:16" x14ac:dyDescent="0.25">
      <c r="B48" s="35"/>
      <c r="C48" s="46"/>
      <c r="D48" s="46"/>
      <c r="E48" s="38"/>
      <c r="F48" s="35"/>
      <c r="G48" s="58"/>
      <c r="H48" s="8" t="s">
        <v>106</v>
      </c>
      <c r="I48" s="5">
        <v>230.4</v>
      </c>
      <c r="J48" s="5">
        <v>50</v>
      </c>
      <c r="K48" s="5">
        <f t="shared" si="2"/>
        <v>11520</v>
      </c>
      <c r="L48" s="3" t="s">
        <v>26</v>
      </c>
      <c r="M48" s="35"/>
      <c r="N48" s="35"/>
      <c r="O48" s="35"/>
      <c r="P48" s="60"/>
    </row>
    <row r="49" spans="2:16" x14ac:dyDescent="0.25">
      <c r="B49" s="35"/>
      <c r="C49" s="46"/>
      <c r="D49" s="46"/>
      <c r="E49" s="38"/>
      <c r="F49" s="35"/>
      <c r="G49" s="58"/>
      <c r="H49" s="8" t="s">
        <v>107</v>
      </c>
      <c r="I49" s="5">
        <v>265.05</v>
      </c>
      <c r="J49" s="5">
        <v>100</v>
      </c>
      <c r="K49" s="5">
        <f t="shared" si="2"/>
        <v>26505</v>
      </c>
      <c r="L49" s="3" t="s">
        <v>26</v>
      </c>
      <c r="M49" s="35"/>
      <c r="N49" s="35"/>
      <c r="O49" s="35"/>
      <c r="P49" s="60"/>
    </row>
    <row r="50" spans="2:16" x14ac:dyDescent="0.25">
      <c r="B50" s="35"/>
      <c r="C50" s="46"/>
      <c r="D50" s="46"/>
      <c r="E50" s="38"/>
      <c r="F50" s="35"/>
      <c r="G50" s="58"/>
      <c r="H50" s="8" t="s">
        <v>108</v>
      </c>
      <c r="I50" s="5">
        <v>61.2</v>
      </c>
      <c r="J50" s="5">
        <v>100</v>
      </c>
      <c r="K50" s="5">
        <f t="shared" si="2"/>
        <v>6120</v>
      </c>
      <c r="L50" s="3" t="s">
        <v>26</v>
      </c>
      <c r="M50" s="35"/>
      <c r="N50" s="35"/>
      <c r="O50" s="35"/>
      <c r="P50" s="60"/>
    </row>
    <row r="51" spans="2:16" x14ac:dyDescent="0.25">
      <c r="B51" s="35"/>
      <c r="C51" s="46"/>
      <c r="D51" s="46"/>
      <c r="E51" s="38"/>
      <c r="F51" s="35"/>
      <c r="G51" s="58"/>
      <c r="H51" s="8" t="s">
        <v>109</v>
      </c>
      <c r="I51" s="5">
        <v>130.5</v>
      </c>
      <c r="J51" s="5">
        <v>50</v>
      </c>
      <c r="K51" s="5">
        <f t="shared" si="2"/>
        <v>6525</v>
      </c>
      <c r="L51" s="3" t="s">
        <v>26</v>
      </c>
      <c r="M51" s="35"/>
      <c r="N51" s="35"/>
      <c r="O51" s="35"/>
      <c r="P51" s="60"/>
    </row>
    <row r="52" spans="2:16" x14ac:dyDescent="0.25">
      <c r="B52" s="35"/>
      <c r="C52" s="46"/>
      <c r="D52" s="46"/>
      <c r="E52" s="38"/>
      <c r="F52" s="35"/>
      <c r="G52" s="58"/>
      <c r="H52" s="8" t="s">
        <v>110</v>
      </c>
      <c r="I52" s="5">
        <v>196.2</v>
      </c>
      <c r="J52" s="5">
        <v>150</v>
      </c>
      <c r="K52" s="5">
        <f>I52*J52</f>
        <v>29430</v>
      </c>
      <c r="L52" s="3" t="s">
        <v>26</v>
      </c>
      <c r="M52" s="35"/>
      <c r="N52" s="35"/>
      <c r="O52" s="35"/>
      <c r="P52" s="60"/>
    </row>
    <row r="53" spans="2:16" x14ac:dyDescent="0.25">
      <c r="B53" s="35"/>
      <c r="C53" s="46"/>
      <c r="D53" s="46"/>
      <c r="E53" s="38"/>
      <c r="F53" s="35"/>
      <c r="G53" s="58"/>
      <c r="H53" s="8" t="s">
        <v>111</v>
      </c>
      <c r="I53" s="5">
        <v>14.85</v>
      </c>
      <c r="J53" s="5">
        <v>200</v>
      </c>
      <c r="K53" s="5">
        <f t="shared" ref="K53:K87" si="3">I53*J53</f>
        <v>2970</v>
      </c>
      <c r="L53" s="3" t="s">
        <v>26</v>
      </c>
      <c r="M53" s="35"/>
      <c r="N53" s="35"/>
      <c r="O53" s="35"/>
      <c r="P53" s="60"/>
    </row>
    <row r="54" spans="2:16" x14ac:dyDescent="0.25">
      <c r="B54" s="35"/>
      <c r="C54" s="46"/>
      <c r="D54" s="46"/>
      <c r="E54" s="38"/>
      <c r="F54" s="35"/>
      <c r="G54" s="58"/>
      <c r="H54" s="8" t="s">
        <v>112</v>
      </c>
      <c r="I54" s="5">
        <v>112.95</v>
      </c>
      <c r="J54" s="5">
        <v>50</v>
      </c>
      <c r="K54" s="5">
        <f t="shared" si="3"/>
        <v>5647.5</v>
      </c>
      <c r="L54" s="3" t="s">
        <v>26</v>
      </c>
      <c r="M54" s="35"/>
      <c r="N54" s="35"/>
      <c r="O54" s="35"/>
      <c r="P54" s="60"/>
    </row>
    <row r="55" spans="2:16" x14ac:dyDescent="0.25">
      <c r="B55" s="35"/>
      <c r="C55" s="46"/>
      <c r="D55" s="46"/>
      <c r="E55" s="38"/>
      <c r="F55" s="35"/>
      <c r="G55" s="58"/>
      <c r="H55" s="8" t="s">
        <v>113</v>
      </c>
      <c r="I55" s="5">
        <v>117.9</v>
      </c>
      <c r="J55" s="5">
        <v>100</v>
      </c>
      <c r="K55" s="5">
        <f t="shared" si="3"/>
        <v>11790</v>
      </c>
      <c r="L55" s="3" t="s">
        <v>26</v>
      </c>
      <c r="M55" s="35"/>
      <c r="N55" s="35"/>
      <c r="O55" s="35"/>
      <c r="P55" s="60"/>
    </row>
    <row r="56" spans="2:16" x14ac:dyDescent="0.25">
      <c r="B56" s="35"/>
      <c r="C56" s="46"/>
      <c r="D56" s="46"/>
      <c r="E56" s="38"/>
      <c r="F56" s="35"/>
      <c r="G56" s="58"/>
      <c r="H56" s="8" t="s">
        <v>109</v>
      </c>
      <c r="I56" s="5">
        <v>130.5</v>
      </c>
      <c r="J56" s="5">
        <v>50</v>
      </c>
      <c r="K56" s="5">
        <f t="shared" si="3"/>
        <v>6525</v>
      </c>
      <c r="L56" s="3" t="s">
        <v>26</v>
      </c>
      <c r="M56" s="35"/>
      <c r="N56" s="35"/>
      <c r="O56" s="35"/>
      <c r="P56" s="60"/>
    </row>
    <row r="57" spans="2:16" x14ac:dyDescent="0.25">
      <c r="B57" s="35"/>
      <c r="C57" s="46"/>
      <c r="D57" s="46"/>
      <c r="E57" s="38"/>
      <c r="F57" s="35"/>
      <c r="G57" s="58"/>
      <c r="H57" s="8" t="s">
        <v>114</v>
      </c>
      <c r="I57" s="5">
        <v>304.92</v>
      </c>
      <c r="J57" s="5">
        <v>240</v>
      </c>
      <c r="K57" s="5">
        <f t="shared" si="3"/>
        <v>73180.800000000003</v>
      </c>
      <c r="L57" s="3" t="s">
        <v>26</v>
      </c>
      <c r="M57" s="35"/>
      <c r="N57" s="35"/>
      <c r="O57" s="35"/>
      <c r="P57" s="60"/>
    </row>
    <row r="58" spans="2:16" x14ac:dyDescent="0.25">
      <c r="B58" s="35"/>
      <c r="C58" s="46"/>
      <c r="D58" s="46"/>
      <c r="E58" s="38"/>
      <c r="F58" s="35"/>
      <c r="G58" s="58"/>
      <c r="H58" s="8" t="s">
        <v>115</v>
      </c>
      <c r="I58" s="5">
        <v>108</v>
      </c>
      <c r="J58" s="5">
        <v>500</v>
      </c>
      <c r="K58" s="5">
        <f t="shared" si="3"/>
        <v>54000</v>
      </c>
      <c r="L58" s="3" t="s">
        <v>26</v>
      </c>
      <c r="M58" s="35"/>
      <c r="N58" s="35"/>
      <c r="O58" s="35"/>
      <c r="P58" s="60"/>
    </row>
    <row r="59" spans="2:16" x14ac:dyDescent="0.25">
      <c r="B59" s="35"/>
      <c r="C59" s="46"/>
      <c r="D59" s="46"/>
      <c r="E59" s="38"/>
      <c r="F59" s="35"/>
      <c r="G59" s="58"/>
      <c r="H59" s="8" t="s">
        <v>116</v>
      </c>
      <c r="I59" s="5">
        <v>10550</v>
      </c>
      <c r="J59" s="5">
        <v>4</v>
      </c>
      <c r="K59" s="5">
        <f t="shared" si="3"/>
        <v>42200</v>
      </c>
      <c r="L59" s="3" t="s">
        <v>33</v>
      </c>
      <c r="M59" s="35"/>
      <c r="N59" s="35"/>
      <c r="O59" s="35"/>
      <c r="P59" s="60"/>
    </row>
    <row r="60" spans="2:16" x14ac:dyDescent="0.25">
      <c r="B60" s="35"/>
      <c r="C60" s="46"/>
      <c r="D60" s="46"/>
      <c r="E60" s="38"/>
      <c r="F60" s="35"/>
      <c r="G60" s="58"/>
      <c r="H60" s="8" t="s">
        <v>117</v>
      </c>
      <c r="I60" s="5">
        <v>4004.67</v>
      </c>
      <c r="J60" s="5">
        <v>3</v>
      </c>
      <c r="K60" s="5">
        <f t="shared" si="3"/>
        <v>12014.01</v>
      </c>
      <c r="L60" s="3" t="s">
        <v>82</v>
      </c>
      <c r="M60" s="35"/>
      <c r="N60" s="35"/>
      <c r="O60" s="35"/>
      <c r="P60" s="60"/>
    </row>
    <row r="61" spans="2:16" x14ac:dyDescent="0.25">
      <c r="B61" s="35"/>
      <c r="C61" s="46"/>
      <c r="D61" s="46"/>
      <c r="E61" s="38"/>
      <c r="F61" s="35"/>
      <c r="G61" s="58"/>
      <c r="H61" s="8" t="s">
        <v>118</v>
      </c>
      <c r="I61" s="5">
        <v>5056.8999999999996</v>
      </c>
      <c r="J61" s="5">
        <v>10</v>
      </c>
      <c r="K61" s="5">
        <f t="shared" si="3"/>
        <v>50569</v>
      </c>
      <c r="L61" s="3" t="s">
        <v>82</v>
      </c>
      <c r="M61" s="35"/>
      <c r="N61" s="35"/>
      <c r="O61" s="35"/>
      <c r="P61" s="60"/>
    </row>
    <row r="62" spans="2:16" x14ac:dyDescent="0.25">
      <c r="B62" s="36"/>
      <c r="C62" s="41"/>
      <c r="D62" s="41"/>
      <c r="E62" s="39"/>
      <c r="F62" s="36"/>
      <c r="G62" s="59"/>
      <c r="H62" s="8" t="s">
        <v>119</v>
      </c>
      <c r="I62" s="5">
        <v>1628</v>
      </c>
      <c r="J62" s="5">
        <v>6</v>
      </c>
      <c r="K62" s="5">
        <f t="shared" si="3"/>
        <v>9768</v>
      </c>
      <c r="L62" s="3" t="s">
        <v>26</v>
      </c>
      <c r="M62" s="36"/>
      <c r="N62" s="36"/>
      <c r="O62" s="36"/>
      <c r="P62" s="56"/>
    </row>
    <row r="63" spans="2:16" x14ac:dyDescent="0.25">
      <c r="B63" s="34">
        <v>17</v>
      </c>
      <c r="C63" s="40"/>
      <c r="D63" s="40"/>
      <c r="E63" s="37">
        <v>45925</v>
      </c>
      <c r="F63" s="34">
        <v>1826</v>
      </c>
      <c r="G63" s="34" t="s">
        <v>46</v>
      </c>
      <c r="H63" s="8" t="s">
        <v>120</v>
      </c>
      <c r="I63" s="5">
        <v>67.5</v>
      </c>
      <c r="J63" s="5">
        <v>200</v>
      </c>
      <c r="K63" s="5">
        <f t="shared" si="3"/>
        <v>13500</v>
      </c>
      <c r="L63" s="3" t="s">
        <v>82</v>
      </c>
      <c r="M63" s="34" t="s">
        <v>49</v>
      </c>
      <c r="N63" s="34" t="s">
        <v>35</v>
      </c>
      <c r="O63" s="34">
        <v>8080081448</v>
      </c>
      <c r="P63" s="34" t="s">
        <v>50</v>
      </c>
    </row>
    <row r="64" spans="2:16" x14ac:dyDescent="0.25">
      <c r="B64" s="35"/>
      <c r="C64" s="46"/>
      <c r="D64" s="46"/>
      <c r="E64" s="38"/>
      <c r="F64" s="35"/>
      <c r="G64" s="35"/>
      <c r="H64" s="8" t="s">
        <v>121</v>
      </c>
      <c r="I64" s="5">
        <v>91.35</v>
      </c>
      <c r="J64" s="5">
        <v>600</v>
      </c>
      <c r="K64" s="5">
        <f t="shared" si="3"/>
        <v>54810</v>
      </c>
      <c r="L64" s="3" t="s">
        <v>82</v>
      </c>
      <c r="M64" s="35"/>
      <c r="N64" s="35"/>
      <c r="O64" s="35"/>
      <c r="P64" s="35"/>
    </row>
    <row r="65" spans="2:16" x14ac:dyDescent="0.25">
      <c r="B65" s="35"/>
      <c r="C65" s="46"/>
      <c r="D65" s="46"/>
      <c r="E65" s="38"/>
      <c r="F65" s="35"/>
      <c r="G65" s="35"/>
      <c r="H65" s="8" t="s">
        <v>122</v>
      </c>
      <c r="I65" s="5">
        <v>59.85</v>
      </c>
      <c r="J65" s="5">
        <v>400</v>
      </c>
      <c r="K65" s="5">
        <f t="shared" si="3"/>
        <v>23940</v>
      </c>
      <c r="L65" s="3" t="s">
        <v>82</v>
      </c>
      <c r="M65" s="35"/>
      <c r="N65" s="35"/>
      <c r="O65" s="35"/>
      <c r="P65" s="35"/>
    </row>
    <row r="66" spans="2:16" x14ac:dyDescent="0.25">
      <c r="B66" s="35"/>
      <c r="C66" s="46"/>
      <c r="D66" s="46"/>
      <c r="E66" s="38"/>
      <c r="F66" s="35"/>
      <c r="G66" s="35"/>
      <c r="H66" s="8" t="s">
        <v>123</v>
      </c>
      <c r="I66" s="5">
        <v>66.599999999999994</v>
      </c>
      <c r="J66" s="5">
        <v>300</v>
      </c>
      <c r="K66" s="5">
        <f t="shared" si="3"/>
        <v>19980</v>
      </c>
      <c r="L66" s="3" t="s">
        <v>82</v>
      </c>
      <c r="M66" s="35"/>
      <c r="N66" s="35"/>
      <c r="O66" s="35"/>
      <c r="P66" s="35"/>
    </row>
    <row r="67" spans="2:16" x14ac:dyDescent="0.25">
      <c r="B67" s="35"/>
      <c r="C67" s="46"/>
      <c r="D67" s="46"/>
      <c r="E67" s="38"/>
      <c r="F67" s="35"/>
      <c r="G67" s="35"/>
      <c r="H67" s="8" t="s">
        <v>124</v>
      </c>
      <c r="I67" s="5">
        <v>85.5</v>
      </c>
      <c r="J67" s="5">
        <v>200</v>
      </c>
      <c r="K67" s="5">
        <f t="shared" si="3"/>
        <v>17100</v>
      </c>
      <c r="L67" s="3" t="s">
        <v>82</v>
      </c>
      <c r="M67" s="35"/>
      <c r="N67" s="35"/>
      <c r="O67" s="35"/>
      <c r="P67" s="35"/>
    </row>
    <row r="68" spans="2:16" x14ac:dyDescent="0.25">
      <c r="B68" s="35"/>
      <c r="C68" s="46"/>
      <c r="D68" s="46"/>
      <c r="E68" s="38"/>
      <c r="F68" s="35"/>
      <c r="G68" s="35"/>
      <c r="H68" s="8" t="s">
        <v>125</v>
      </c>
      <c r="I68" s="5">
        <v>62.1</v>
      </c>
      <c r="J68" s="5">
        <v>200</v>
      </c>
      <c r="K68" s="5">
        <f t="shared" si="3"/>
        <v>12420</v>
      </c>
      <c r="L68" s="3" t="s">
        <v>26</v>
      </c>
      <c r="M68" s="35"/>
      <c r="N68" s="35"/>
      <c r="O68" s="35"/>
      <c r="P68" s="35"/>
    </row>
    <row r="69" spans="2:16" x14ac:dyDescent="0.25">
      <c r="B69" s="35"/>
      <c r="C69" s="46"/>
      <c r="D69" s="46"/>
      <c r="E69" s="38"/>
      <c r="F69" s="35"/>
      <c r="G69" s="35"/>
      <c r="H69" s="8" t="s">
        <v>126</v>
      </c>
      <c r="I69" s="5">
        <v>23.5</v>
      </c>
      <c r="J69" s="5">
        <v>6000</v>
      </c>
      <c r="K69" s="5">
        <f t="shared" si="3"/>
        <v>141000</v>
      </c>
      <c r="L69" s="3" t="s">
        <v>131</v>
      </c>
      <c r="M69" s="35"/>
      <c r="N69" s="35"/>
      <c r="O69" s="35"/>
      <c r="P69" s="35"/>
    </row>
    <row r="70" spans="2:16" x14ac:dyDescent="0.25">
      <c r="B70" s="35"/>
      <c r="C70" s="46"/>
      <c r="D70" s="46"/>
      <c r="E70" s="38"/>
      <c r="F70" s="35"/>
      <c r="G70" s="35"/>
      <c r="H70" s="8" t="s">
        <v>127</v>
      </c>
      <c r="I70" s="5">
        <v>36.299999999999997</v>
      </c>
      <c r="J70" s="5">
        <v>4000</v>
      </c>
      <c r="K70" s="5">
        <f t="shared" si="3"/>
        <v>145200</v>
      </c>
      <c r="L70" s="3" t="s">
        <v>131</v>
      </c>
      <c r="M70" s="35"/>
      <c r="N70" s="35"/>
      <c r="O70" s="35"/>
      <c r="P70" s="35"/>
    </row>
    <row r="71" spans="2:16" x14ac:dyDescent="0.25">
      <c r="B71" s="35"/>
      <c r="C71" s="46"/>
      <c r="D71" s="46"/>
      <c r="E71" s="38"/>
      <c r="F71" s="35"/>
      <c r="G71" s="35"/>
      <c r="H71" s="8" t="s">
        <v>128</v>
      </c>
      <c r="I71" s="5">
        <v>7250</v>
      </c>
      <c r="J71" s="5">
        <v>3</v>
      </c>
      <c r="K71" s="5">
        <f t="shared" si="3"/>
        <v>21750</v>
      </c>
      <c r="L71" s="3" t="s">
        <v>82</v>
      </c>
      <c r="M71" s="35"/>
      <c r="N71" s="35"/>
      <c r="O71" s="35"/>
      <c r="P71" s="35"/>
    </row>
    <row r="72" spans="2:16" x14ac:dyDescent="0.25">
      <c r="B72" s="35"/>
      <c r="C72" s="46"/>
      <c r="D72" s="46"/>
      <c r="E72" s="38"/>
      <c r="F72" s="35"/>
      <c r="G72" s="35"/>
      <c r="H72" s="8" t="s">
        <v>129</v>
      </c>
      <c r="I72" s="5">
        <v>2504.8000000000002</v>
      </c>
      <c r="J72" s="5">
        <v>10</v>
      </c>
      <c r="K72" s="5">
        <f t="shared" si="3"/>
        <v>25048</v>
      </c>
      <c r="L72" s="3" t="s">
        <v>82</v>
      </c>
      <c r="M72" s="35"/>
      <c r="N72" s="35"/>
      <c r="O72" s="35"/>
      <c r="P72" s="35"/>
    </row>
    <row r="73" spans="2:16" x14ac:dyDescent="0.25">
      <c r="B73" s="36"/>
      <c r="C73" s="41"/>
      <c r="D73" s="41"/>
      <c r="E73" s="39"/>
      <c r="F73" s="36"/>
      <c r="G73" s="36"/>
      <c r="H73" s="8" t="s">
        <v>130</v>
      </c>
      <c r="I73" s="5">
        <v>3360.4</v>
      </c>
      <c r="J73" s="5">
        <v>6</v>
      </c>
      <c r="K73" s="5">
        <f t="shared" si="3"/>
        <v>20162.400000000001</v>
      </c>
      <c r="L73" s="3" t="s">
        <v>26</v>
      </c>
      <c r="M73" s="36"/>
      <c r="N73" s="36"/>
      <c r="O73" s="36"/>
      <c r="P73" s="36"/>
    </row>
    <row r="74" spans="2:16" x14ac:dyDescent="0.25">
      <c r="B74" s="34">
        <v>18</v>
      </c>
      <c r="C74" s="40"/>
      <c r="D74" s="40"/>
      <c r="E74" s="37">
        <v>45911</v>
      </c>
      <c r="F74" s="34">
        <v>1827</v>
      </c>
      <c r="G74" s="34" t="s">
        <v>30</v>
      </c>
      <c r="H74" s="8" t="s">
        <v>39</v>
      </c>
      <c r="I74" s="5">
        <v>6077.68</v>
      </c>
      <c r="J74" s="5">
        <v>40</v>
      </c>
      <c r="K74" s="5">
        <f t="shared" si="3"/>
        <v>243107.20000000001</v>
      </c>
      <c r="L74" s="3" t="s">
        <v>33</v>
      </c>
      <c r="M74" s="34" t="s">
        <v>34</v>
      </c>
      <c r="N74" s="34" t="s">
        <v>35</v>
      </c>
      <c r="O74" s="34">
        <v>9920820552</v>
      </c>
      <c r="P74" s="34" t="s">
        <v>36</v>
      </c>
    </row>
    <row r="75" spans="2:16" x14ac:dyDescent="0.25">
      <c r="B75" s="35"/>
      <c r="C75" s="46"/>
      <c r="D75" s="46"/>
      <c r="E75" s="38"/>
      <c r="F75" s="35"/>
      <c r="G75" s="35"/>
      <c r="H75" s="8" t="s">
        <v>132</v>
      </c>
      <c r="I75" s="5">
        <v>6750</v>
      </c>
      <c r="J75" s="5">
        <v>10</v>
      </c>
      <c r="K75" s="5">
        <f t="shared" si="3"/>
        <v>67500</v>
      </c>
      <c r="L75" s="3" t="s">
        <v>33</v>
      </c>
      <c r="M75" s="35"/>
      <c r="N75" s="35"/>
      <c r="O75" s="35"/>
      <c r="P75" s="35"/>
    </row>
    <row r="76" spans="2:16" x14ac:dyDescent="0.25">
      <c r="B76" s="35"/>
      <c r="C76" s="46"/>
      <c r="D76" s="46"/>
      <c r="E76" s="38"/>
      <c r="F76" s="35"/>
      <c r="G76" s="35"/>
      <c r="H76" s="8" t="s">
        <v>133</v>
      </c>
      <c r="I76" s="5">
        <v>1797</v>
      </c>
      <c r="J76" s="5">
        <v>30</v>
      </c>
      <c r="K76" s="5">
        <f t="shared" si="3"/>
        <v>53910</v>
      </c>
      <c r="L76" s="3" t="s">
        <v>26</v>
      </c>
      <c r="M76" s="35"/>
      <c r="N76" s="35"/>
      <c r="O76" s="35"/>
      <c r="P76" s="35"/>
    </row>
    <row r="77" spans="2:16" x14ac:dyDescent="0.25">
      <c r="B77" s="35"/>
      <c r="C77" s="46"/>
      <c r="D77" s="46"/>
      <c r="E77" s="38"/>
      <c r="F77" s="35"/>
      <c r="G77" s="35"/>
      <c r="H77" s="8" t="s">
        <v>134</v>
      </c>
      <c r="I77" s="5">
        <v>2222.84</v>
      </c>
      <c r="J77" s="5">
        <v>30</v>
      </c>
      <c r="K77" s="5">
        <f t="shared" si="3"/>
        <v>66685.200000000012</v>
      </c>
      <c r="L77" s="3" t="s">
        <v>26</v>
      </c>
      <c r="M77" s="35"/>
      <c r="N77" s="35"/>
      <c r="O77" s="35"/>
      <c r="P77" s="35"/>
    </row>
    <row r="78" spans="2:16" x14ac:dyDescent="0.25">
      <c r="B78" s="36"/>
      <c r="C78" s="41"/>
      <c r="D78" s="41"/>
      <c r="E78" s="39"/>
      <c r="F78" s="36"/>
      <c r="G78" s="36"/>
      <c r="H78" s="8" t="s">
        <v>135</v>
      </c>
      <c r="I78" s="5">
        <v>2675</v>
      </c>
      <c r="J78" s="5">
        <v>18</v>
      </c>
      <c r="K78" s="5">
        <f t="shared" si="3"/>
        <v>48150</v>
      </c>
      <c r="L78" s="3" t="s">
        <v>82</v>
      </c>
      <c r="M78" s="36"/>
      <c r="N78" s="36"/>
      <c r="O78" s="36"/>
      <c r="P78" s="36"/>
    </row>
    <row r="79" spans="2:16" x14ac:dyDescent="0.25">
      <c r="B79" s="34">
        <v>19</v>
      </c>
      <c r="C79" s="40"/>
      <c r="D79" s="40"/>
      <c r="E79" s="37">
        <v>45924</v>
      </c>
      <c r="F79" s="34">
        <v>1814</v>
      </c>
      <c r="G79" s="34" t="s">
        <v>46</v>
      </c>
      <c r="H79" s="8" t="s">
        <v>136</v>
      </c>
      <c r="I79" s="5">
        <v>23.4</v>
      </c>
      <c r="J79" s="5">
        <v>3200</v>
      </c>
      <c r="K79" s="5">
        <f>I79*J79</f>
        <v>74880</v>
      </c>
      <c r="L79" s="3" t="s">
        <v>82</v>
      </c>
      <c r="M79" s="34" t="s">
        <v>49</v>
      </c>
      <c r="N79" s="34" t="s">
        <v>35</v>
      </c>
      <c r="O79" s="34">
        <v>8080081448</v>
      </c>
      <c r="P79" s="34" t="s">
        <v>50</v>
      </c>
    </row>
    <row r="80" spans="2:16" x14ac:dyDescent="0.25">
      <c r="B80" s="35"/>
      <c r="C80" s="46"/>
      <c r="D80" s="46"/>
      <c r="E80" s="38"/>
      <c r="F80" s="35"/>
      <c r="G80" s="35"/>
      <c r="H80" s="8" t="s">
        <v>137</v>
      </c>
      <c r="I80" s="5">
        <v>51.75</v>
      </c>
      <c r="J80" s="5">
        <v>200</v>
      </c>
      <c r="K80" s="5">
        <f t="shared" si="3"/>
        <v>10350</v>
      </c>
      <c r="L80" s="3" t="s">
        <v>26</v>
      </c>
      <c r="M80" s="35"/>
      <c r="N80" s="35"/>
      <c r="O80" s="35"/>
      <c r="P80" s="35"/>
    </row>
    <row r="81" spans="2:16" x14ac:dyDescent="0.25">
      <c r="B81" s="35"/>
      <c r="C81" s="46"/>
      <c r="D81" s="46"/>
      <c r="E81" s="38"/>
      <c r="F81" s="35"/>
      <c r="G81" s="35"/>
      <c r="H81" s="8" t="s">
        <v>120</v>
      </c>
      <c r="I81" s="5">
        <v>67.5</v>
      </c>
      <c r="J81" s="5">
        <v>400</v>
      </c>
      <c r="K81" s="5">
        <f t="shared" si="3"/>
        <v>27000</v>
      </c>
      <c r="L81" s="3" t="s">
        <v>82</v>
      </c>
      <c r="M81" s="35"/>
      <c r="N81" s="35"/>
      <c r="O81" s="35"/>
      <c r="P81" s="35"/>
    </row>
    <row r="82" spans="2:16" x14ac:dyDescent="0.25">
      <c r="B82" s="35"/>
      <c r="C82" s="46"/>
      <c r="D82" s="46"/>
      <c r="E82" s="38"/>
      <c r="F82" s="35"/>
      <c r="G82" s="35"/>
      <c r="H82" s="8" t="s">
        <v>122</v>
      </c>
      <c r="I82" s="5">
        <v>59.85</v>
      </c>
      <c r="J82" s="5">
        <v>600</v>
      </c>
      <c r="K82" s="5">
        <f t="shared" si="3"/>
        <v>35910</v>
      </c>
      <c r="L82" s="3" t="s">
        <v>82</v>
      </c>
      <c r="M82" s="35"/>
      <c r="N82" s="35"/>
      <c r="O82" s="35"/>
      <c r="P82" s="35"/>
    </row>
    <row r="83" spans="2:16" x14ac:dyDescent="0.25">
      <c r="B83" s="35"/>
      <c r="C83" s="46"/>
      <c r="D83" s="46"/>
      <c r="E83" s="38"/>
      <c r="F83" s="35"/>
      <c r="G83" s="35"/>
      <c r="H83" s="8" t="s">
        <v>138</v>
      </c>
      <c r="I83" s="5">
        <v>91.35</v>
      </c>
      <c r="J83" s="5">
        <v>600</v>
      </c>
      <c r="K83" s="5">
        <f t="shared" si="3"/>
        <v>54810</v>
      </c>
      <c r="L83" s="3" t="s">
        <v>82</v>
      </c>
      <c r="M83" s="35"/>
      <c r="N83" s="35"/>
      <c r="O83" s="35"/>
      <c r="P83" s="35"/>
    </row>
    <row r="84" spans="2:16" x14ac:dyDescent="0.25">
      <c r="B84" s="35"/>
      <c r="C84" s="46"/>
      <c r="D84" s="46"/>
      <c r="E84" s="38"/>
      <c r="F84" s="35"/>
      <c r="G84" s="35"/>
      <c r="H84" s="8" t="s">
        <v>139</v>
      </c>
      <c r="I84" s="5">
        <v>48.15</v>
      </c>
      <c r="J84" s="5">
        <v>400</v>
      </c>
      <c r="K84" s="5">
        <f t="shared" si="3"/>
        <v>19260</v>
      </c>
      <c r="L84" s="3" t="s">
        <v>82</v>
      </c>
      <c r="M84" s="35"/>
      <c r="N84" s="35"/>
      <c r="O84" s="35"/>
      <c r="P84" s="35"/>
    </row>
    <row r="85" spans="2:16" x14ac:dyDescent="0.25">
      <c r="B85" s="35"/>
      <c r="C85" s="46"/>
      <c r="D85" s="46"/>
      <c r="E85" s="38"/>
      <c r="F85" s="35"/>
      <c r="G85" s="35"/>
      <c r="H85" s="8" t="s">
        <v>140</v>
      </c>
      <c r="I85" s="5">
        <v>53.55</v>
      </c>
      <c r="J85" s="5">
        <v>400</v>
      </c>
      <c r="K85" s="5">
        <f t="shared" si="3"/>
        <v>21420</v>
      </c>
      <c r="L85" s="3" t="s">
        <v>82</v>
      </c>
      <c r="M85" s="35"/>
      <c r="N85" s="35"/>
      <c r="O85" s="35"/>
      <c r="P85" s="35"/>
    </row>
    <row r="86" spans="2:16" x14ac:dyDescent="0.25">
      <c r="B86" s="35"/>
      <c r="C86" s="46"/>
      <c r="D86" s="46"/>
      <c r="E86" s="38"/>
      <c r="F86" s="35"/>
      <c r="G86" s="35"/>
      <c r="H86" s="8" t="s">
        <v>123</v>
      </c>
      <c r="I86" s="5">
        <v>66.599999999999994</v>
      </c>
      <c r="J86" s="5">
        <v>600</v>
      </c>
      <c r="K86" s="5">
        <f t="shared" si="3"/>
        <v>39960</v>
      </c>
      <c r="L86" s="3" t="s">
        <v>82</v>
      </c>
      <c r="M86" s="35"/>
      <c r="N86" s="35"/>
      <c r="O86" s="35"/>
      <c r="P86" s="35"/>
    </row>
    <row r="87" spans="2:16" x14ac:dyDescent="0.25">
      <c r="B87" s="35"/>
      <c r="C87" s="46"/>
      <c r="D87" s="46"/>
      <c r="E87" s="38"/>
      <c r="F87" s="35"/>
      <c r="G87" s="35"/>
      <c r="H87" s="8" t="s">
        <v>124</v>
      </c>
      <c r="I87" s="5">
        <v>85.5</v>
      </c>
      <c r="J87" s="5">
        <v>300</v>
      </c>
      <c r="K87" s="5">
        <f t="shared" si="3"/>
        <v>25650</v>
      </c>
      <c r="L87" s="3" t="s">
        <v>82</v>
      </c>
      <c r="M87" s="35"/>
      <c r="N87" s="35"/>
      <c r="O87" s="35"/>
      <c r="P87" s="35"/>
    </row>
    <row r="88" spans="2:16" x14ac:dyDescent="0.25">
      <c r="B88" s="36"/>
      <c r="C88" s="41"/>
      <c r="D88" s="41"/>
      <c r="E88" s="39"/>
      <c r="F88" s="36"/>
      <c r="G88" s="36"/>
      <c r="H88" s="8" t="s">
        <v>141</v>
      </c>
      <c r="I88" s="5">
        <v>23.5</v>
      </c>
      <c r="J88" s="5">
        <v>6000</v>
      </c>
      <c r="K88" s="5">
        <f>I88*J88</f>
        <v>141000</v>
      </c>
      <c r="L88" s="3" t="s">
        <v>131</v>
      </c>
      <c r="M88" s="36"/>
      <c r="N88" s="36"/>
      <c r="O88" s="36"/>
      <c r="P88" s="36"/>
    </row>
    <row r="89" spans="2:16" x14ac:dyDescent="0.25">
      <c r="B89" s="34">
        <v>20</v>
      </c>
      <c r="C89" s="40"/>
      <c r="D89" s="40"/>
      <c r="E89" s="37">
        <v>45917</v>
      </c>
      <c r="F89" s="34" t="s">
        <v>142</v>
      </c>
      <c r="G89" s="34" t="s">
        <v>73</v>
      </c>
      <c r="H89" s="8" t="s">
        <v>143</v>
      </c>
      <c r="I89" s="5">
        <v>19404</v>
      </c>
      <c r="J89" s="5">
        <v>1</v>
      </c>
      <c r="K89" s="5">
        <f>I89*J89</f>
        <v>19404</v>
      </c>
      <c r="L89" s="3" t="s">
        <v>82</v>
      </c>
      <c r="M89" s="34" t="s">
        <v>75</v>
      </c>
      <c r="N89" s="34" t="s">
        <v>76</v>
      </c>
      <c r="O89" s="47" t="s">
        <v>77</v>
      </c>
      <c r="P89" s="34" t="s">
        <v>78</v>
      </c>
    </row>
    <row r="90" spans="2:16" x14ac:dyDescent="0.25">
      <c r="B90" s="35"/>
      <c r="C90" s="46"/>
      <c r="D90" s="46"/>
      <c r="E90" s="38"/>
      <c r="F90" s="35"/>
      <c r="G90" s="35"/>
      <c r="H90" s="8" t="s">
        <v>144</v>
      </c>
      <c r="I90" s="5">
        <v>400</v>
      </c>
      <c r="J90" s="5">
        <v>1</v>
      </c>
      <c r="K90" s="5">
        <f t="shared" ref="K90:K153" si="4">I90*J90</f>
        <v>400</v>
      </c>
      <c r="L90" s="3" t="s">
        <v>148</v>
      </c>
      <c r="M90" s="35"/>
      <c r="N90" s="35"/>
      <c r="O90" s="48"/>
      <c r="P90" s="35"/>
    </row>
    <row r="91" spans="2:16" x14ac:dyDescent="0.25">
      <c r="B91" s="35"/>
      <c r="C91" s="46"/>
      <c r="D91" s="46"/>
      <c r="E91" s="38"/>
      <c r="F91" s="35"/>
      <c r="G91" s="35"/>
      <c r="H91" s="8" t="s">
        <v>145</v>
      </c>
      <c r="I91" s="5">
        <v>221.4</v>
      </c>
      <c r="J91" s="5">
        <v>1</v>
      </c>
      <c r="K91" s="5">
        <f t="shared" si="4"/>
        <v>221.4</v>
      </c>
      <c r="L91" s="3" t="s">
        <v>148</v>
      </c>
      <c r="M91" s="35"/>
      <c r="N91" s="35"/>
      <c r="O91" s="48"/>
      <c r="P91" s="35"/>
    </row>
    <row r="92" spans="2:16" x14ac:dyDescent="0.25">
      <c r="B92" s="35"/>
      <c r="C92" s="46"/>
      <c r="D92" s="46"/>
      <c r="E92" s="38"/>
      <c r="F92" s="35"/>
      <c r="G92" s="35"/>
      <c r="H92" s="8" t="s">
        <v>146</v>
      </c>
      <c r="I92" s="5">
        <v>1500</v>
      </c>
      <c r="J92" s="5">
        <v>1</v>
      </c>
      <c r="K92" s="5">
        <f t="shared" si="4"/>
        <v>1500</v>
      </c>
      <c r="L92" s="3" t="s">
        <v>148</v>
      </c>
      <c r="M92" s="35"/>
      <c r="N92" s="35"/>
      <c r="O92" s="48"/>
      <c r="P92" s="35"/>
    </row>
    <row r="93" spans="2:16" x14ac:dyDescent="0.25">
      <c r="B93" s="36"/>
      <c r="C93" s="41"/>
      <c r="D93" s="41"/>
      <c r="E93" s="39"/>
      <c r="F93" s="36"/>
      <c r="G93" s="36"/>
      <c r="H93" s="8" t="s">
        <v>147</v>
      </c>
      <c r="I93" s="5">
        <v>500</v>
      </c>
      <c r="J93" s="5">
        <v>1</v>
      </c>
      <c r="K93" s="5">
        <f t="shared" si="4"/>
        <v>500</v>
      </c>
      <c r="L93" s="3" t="s">
        <v>148</v>
      </c>
      <c r="M93" s="36"/>
      <c r="N93" s="36"/>
      <c r="O93" s="49"/>
      <c r="P93" s="36"/>
    </row>
    <row r="94" spans="2:16" x14ac:dyDescent="0.25">
      <c r="B94" s="3">
        <v>21</v>
      </c>
      <c r="C94" s="1"/>
      <c r="D94" s="1"/>
      <c r="E94" s="9">
        <v>46002</v>
      </c>
      <c r="F94" s="24">
        <v>419</v>
      </c>
      <c r="G94" s="3" t="s">
        <v>149</v>
      </c>
      <c r="H94" s="8" t="s">
        <v>150</v>
      </c>
      <c r="I94" s="5">
        <v>2800</v>
      </c>
      <c r="J94" s="5">
        <v>1</v>
      </c>
      <c r="K94" s="5">
        <f t="shared" si="4"/>
        <v>2800</v>
      </c>
      <c r="L94" s="3" t="s">
        <v>26</v>
      </c>
      <c r="M94" s="3" t="s">
        <v>151</v>
      </c>
      <c r="N94" s="3" t="s">
        <v>152</v>
      </c>
      <c r="O94" s="3">
        <v>9371721241</v>
      </c>
      <c r="P94" s="3" t="s">
        <v>153</v>
      </c>
    </row>
    <row r="95" spans="2:16" x14ac:dyDescent="0.25">
      <c r="B95" s="34">
        <v>22</v>
      </c>
      <c r="C95" s="40"/>
      <c r="D95" s="40"/>
      <c r="E95" s="37">
        <v>45904</v>
      </c>
      <c r="F95" s="34" t="s">
        <v>154</v>
      </c>
      <c r="G95" s="34" t="s">
        <v>155</v>
      </c>
      <c r="H95" s="8" t="s">
        <v>156</v>
      </c>
      <c r="I95" s="5">
        <v>2090</v>
      </c>
      <c r="J95" s="5">
        <v>30</v>
      </c>
      <c r="K95" s="5">
        <f t="shared" si="4"/>
        <v>62700</v>
      </c>
      <c r="L95" s="3" t="s">
        <v>26</v>
      </c>
      <c r="M95" s="34" t="s">
        <v>164</v>
      </c>
      <c r="N95" s="44" t="s">
        <v>59</v>
      </c>
      <c r="O95" s="34">
        <v>9879531178</v>
      </c>
      <c r="P95" s="34" t="s">
        <v>165</v>
      </c>
    </row>
    <row r="96" spans="2:16" x14ac:dyDescent="0.25">
      <c r="B96" s="35"/>
      <c r="C96" s="46"/>
      <c r="D96" s="46"/>
      <c r="E96" s="38"/>
      <c r="F96" s="35"/>
      <c r="G96" s="35"/>
      <c r="H96" s="8" t="s">
        <v>157</v>
      </c>
      <c r="I96" s="5">
        <v>490</v>
      </c>
      <c r="J96" s="5">
        <v>20</v>
      </c>
      <c r="K96" s="5">
        <f t="shared" si="4"/>
        <v>9800</v>
      </c>
      <c r="L96" s="3" t="s">
        <v>161</v>
      </c>
      <c r="M96" s="35"/>
      <c r="N96" s="50"/>
      <c r="O96" s="35"/>
      <c r="P96" s="35"/>
    </row>
    <row r="97" spans="2:16" ht="30" x14ac:dyDescent="0.25">
      <c r="B97" s="35"/>
      <c r="C97" s="46"/>
      <c r="D97" s="46"/>
      <c r="E97" s="38"/>
      <c r="F97" s="35"/>
      <c r="G97" s="35"/>
      <c r="H97" s="10" t="s">
        <v>158</v>
      </c>
      <c r="I97" s="5">
        <v>1275</v>
      </c>
      <c r="J97" s="5">
        <v>12</v>
      </c>
      <c r="K97" s="5">
        <f t="shared" si="4"/>
        <v>15300</v>
      </c>
      <c r="L97" s="3" t="s">
        <v>162</v>
      </c>
      <c r="M97" s="35"/>
      <c r="N97" s="50"/>
      <c r="O97" s="35"/>
      <c r="P97" s="35"/>
    </row>
    <row r="98" spans="2:16" x14ac:dyDescent="0.25">
      <c r="B98" s="35"/>
      <c r="C98" s="46"/>
      <c r="D98" s="46"/>
      <c r="E98" s="38"/>
      <c r="F98" s="35"/>
      <c r="G98" s="35"/>
      <c r="H98" s="8" t="s">
        <v>159</v>
      </c>
      <c r="I98" s="5">
        <v>600</v>
      </c>
      <c r="J98" s="5">
        <v>20</v>
      </c>
      <c r="K98" s="5">
        <f t="shared" si="4"/>
        <v>12000</v>
      </c>
      <c r="L98" s="3" t="s">
        <v>163</v>
      </c>
      <c r="M98" s="35"/>
      <c r="N98" s="50"/>
      <c r="O98" s="35"/>
      <c r="P98" s="35"/>
    </row>
    <row r="99" spans="2:16" x14ac:dyDescent="0.25">
      <c r="B99" s="36"/>
      <c r="C99" s="41"/>
      <c r="D99" s="41"/>
      <c r="E99" s="39"/>
      <c r="F99" s="36"/>
      <c r="G99" s="36"/>
      <c r="H99" s="8" t="s">
        <v>160</v>
      </c>
      <c r="I99" s="5">
        <v>200</v>
      </c>
      <c r="J99" s="5">
        <v>1</v>
      </c>
      <c r="K99" s="5">
        <f t="shared" si="4"/>
        <v>200</v>
      </c>
      <c r="L99" s="3" t="s">
        <v>148</v>
      </c>
      <c r="M99" s="36"/>
      <c r="N99" s="45"/>
      <c r="O99" s="36"/>
      <c r="P99" s="36"/>
    </row>
    <row r="100" spans="2:16" x14ac:dyDescent="0.25">
      <c r="B100" s="3">
        <v>23</v>
      </c>
      <c r="C100" s="1"/>
      <c r="D100" s="1"/>
      <c r="E100" s="9">
        <v>45910</v>
      </c>
      <c r="F100" s="3">
        <v>2025102359</v>
      </c>
      <c r="G100" s="3" t="s">
        <v>166</v>
      </c>
      <c r="H100" s="8" t="s">
        <v>167</v>
      </c>
      <c r="I100" s="5">
        <v>8800</v>
      </c>
      <c r="J100" s="5">
        <v>225</v>
      </c>
      <c r="K100" s="5">
        <f t="shared" si="4"/>
        <v>1980000</v>
      </c>
      <c r="L100" s="3" t="s">
        <v>18</v>
      </c>
      <c r="M100" s="3" t="s">
        <v>168</v>
      </c>
      <c r="N100" s="3" t="s">
        <v>169</v>
      </c>
      <c r="O100" s="25" t="s">
        <v>170</v>
      </c>
      <c r="P100" s="3" t="s">
        <v>70</v>
      </c>
    </row>
    <row r="101" spans="2:16" x14ac:dyDescent="0.25">
      <c r="B101" s="34">
        <v>24</v>
      </c>
      <c r="C101" s="40"/>
      <c r="D101" s="40"/>
      <c r="E101" s="37">
        <v>45910</v>
      </c>
      <c r="F101" s="34">
        <v>1638</v>
      </c>
      <c r="G101" s="34" t="s">
        <v>46</v>
      </c>
      <c r="H101" s="8" t="s">
        <v>171</v>
      </c>
      <c r="I101" s="5">
        <v>100.32</v>
      </c>
      <c r="J101" s="5">
        <v>400</v>
      </c>
      <c r="K101" s="5">
        <f t="shared" si="4"/>
        <v>40128</v>
      </c>
      <c r="L101" s="34" t="s">
        <v>26</v>
      </c>
      <c r="M101" s="34" t="s">
        <v>49</v>
      </c>
      <c r="N101" s="34" t="s">
        <v>35</v>
      </c>
      <c r="O101" s="47" t="s">
        <v>192</v>
      </c>
      <c r="P101" s="34" t="s">
        <v>50</v>
      </c>
    </row>
    <row r="102" spans="2:16" x14ac:dyDescent="0.25">
      <c r="B102" s="35"/>
      <c r="C102" s="46"/>
      <c r="D102" s="46"/>
      <c r="E102" s="38"/>
      <c r="F102" s="35"/>
      <c r="G102" s="35"/>
      <c r="H102" s="8" t="s">
        <v>172</v>
      </c>
      <c r="I102" s="5">
        <v>35.520000000000003</v>
      </c>
      <c r="J102" s="5">
        <v>1200</v>
      </c>
      <c r="K102" s="5">
        <f t="shared" si="4"/>
        <v>42624.000000000007</v>
      </c>
      <c r="L102" s="35"/>
      <c r="M102" s="35"/>
      <c r="N102" s="35"/>
      <c r="O102" s="48"/>
      <c r="P102" s="35"/>
    </row>
    <row r="103" spans="2:16" x14ac:dyDescent="0.25">
      <c r="B103" s="35"/>
      <c r="C103" s="46"/>
      <c r="D103" s="46"/>
      <c r="E103" s="38"/>
      <c r="F103" s="35"/>
      <c r="G103" s="35"/>
      <c r="H103" s="8" t="s">
        <v>173</v>
      </c>
      <c r="I103" s="5">
        <v>201.36</v>
      </c>
      <c r="J103" s="5">
        <v>20</v>
      </c>
      <c r="K103" s="5">
        <f t="shared" si="4"/>
        <v>4027.2000000000003</v>
      </c>
      <c r="L103" s="35"/>
      <c r="M103" s="35"/>
      <c r="N103" s="35"/>
      <c r="O103" s="48"/>
      <c r="P103" s="35"/>
    </row>
    <row r="104" spans="2:16" x14ac:dyDescent="0.25">
      <c r="B104" s="35"/>
      <c r="C104" s="46"/>
      <c r="D104" s="46"/>
      <c r="E104" s="38"/>
      <c r="F104" s="35"/>
      <c r="G104" s="35"/>
      <c r="H104" s="8" t="s">
        <v>174</v>
      </c>
      <c r="I104" s="5">
        <v>94.59</v>
      </c>
      <c r="J104" s="5">
        <v>20</v>
      </c>
      <c r="K104" s="5">
        <f t="shared" si="4"/>
        <v>1891.8000000000002</v>
      </c>
      <c r="L104" s="35"/>
      <c r="M104" s="35"/>
      <c r="N104" s="35"/>
      <c r="O104" s="48"/>
      <c r="P104" s="35"/>
    </row>
    <row r="105" spans="2:16" x14ac:dyDescent="0.25">
      <c r="B105" s="35"/>
      <c r="C105" s="46"/>
      <c r="D105" s="46"/>
      <c r="E105" s="38"/>
      <c r="F105" s="35"/>
      <c r="G105" s="35"/>
      <c r="H105" s="8" t="s">
        <v>175</v>
      </c>
      <c r="I105" s="5">
        <v>80.599999999999994</v>
      </c>
      <c r="J105" s="5">
        <v>60</v>
      </c>
      <c r="K105" s="5">
        <f t="shared" si="4"/>
        <v>4836</v>
      </c>
      <c r="L105" s="35"/>
      <c r="M105" s="35"/>
      <c r="N105" s="35"/>
      <c r="O105" s="48"/>
      <c r="P105" s="35"/>
    </row>
    <row r="106" spans="2:16" x14ac:dyDescent="0.25">
      <c r="B106" s="35"/>
      <c r="C106" s="46"/>
      <c r="D106" s="46"/>
      <c r="E106" s="38"/>
      <c r="F106" s="35"/>
      <c r="G106" s="35"/>
      <c r="H106" s="8" t="s">
        <v>176</v>
      </c>
      <c r="I106" s="5">
        <v>85.8</v>
      </c>
      <c r="J106" s="5">
        <v>40</v>
      </c>
      <c r="K106" s="5">
        <f t="shared" si="4"/>
        <v>3432</v>
      </c>
      <c r="L106" s="35"/>
      <c r="M106" s="35"/>
      <c r="N106" s="35"/>
      <c r="O106" s="48"/>
      <c r="P106" s="35"/>
    </row>
    <row r="107" spans="2:16" x14ac:dyDescent="0.25">
      <c r="B107" s="35"/>
      <c r="C107" s="46"/>
      <c r="D107" s="46"/>
      <c r="E107" s="38"/>
      <c r="F107" s="35"/>
      <c r="G107" s="35"/>
      <c r="H107" s="8" t="s">
        <v>177</v>
      </c>
      <c r="I107" s="5">
        <v>91.52</v>
      </c>
      <c r="J107" s="5">
        <v>60</v>
      </c>
      <c r="K107" s="5">
        <f t="shared" si="4"/>
        <v>5491.2</v>
      </c>
      <c r="L107" s="35"/>
      <c r="M107" s="35"/>
      <c r="N107" s="35"/>
      <c r="O107" s="48"/>
      <c r="P107" s="35"/>
    </row>
    <row r="108" spans="2:16" x14ac:dyDescent="0.25">
      <c r="B108" s="35"/>
      <c r="C108" s="46"/>
      <c r="D108" s="46"/>
      <c r="E108" s="38"/>
      <c r="F108" s="35"/>
      <c r="G108" s="35"/>
      <c r="H108" s="8" t="s">
        <v>178</v>
      </c>
      <c r="I108" s="5">
        <v>165.88</v>
      </c>
      <c r="J108" s="5">
        <v>50</v>
      </c>
      <c r="K108" s="5">
        <f t="shared" si="4"/>
        <v>8294</v>
      </c>
      <c r="L108" s="35"/>
      <c r="M108" s="35"/>
      <c r="N108" s="35"/>
      <c r="O108" s="48"/>
      <c r="P108" s="35"/>
    </row>
    <row r="109" spans="2:16" x14ac:dyDescent="0.25">
      <c r="B109" s="35"/>
      <c r="C109" s="46"/>
      <c r="D109" s="46"/>
      <c r="E109" s="38"/>
      <c r="F109" s="35"/>
      <c r="G109" s="35"/>
      <c r="H109" s="8" t="s">
        <v>179</v>
      </c>
      <c r="I109" s="5">
        <v>275.08</v>
      </c>
      <c r="J109" s="5">
        <v>30</v>
      </c>
      <c r="K109" s="5">
        <f t="shared" si="4"/>
        <v>8252.4</v>
      </c>
      <c r="L109" s="35"/>
      <c r="M109" s="35"/>
      <c r="N109" s="35"/>
      <c r="O109" s="48"/>
      <c r="P109" s="35"/>
    </row>
    <row r="110" spans="2:16" x14ac:dyDescent="0.25">
      <c r="B110" s="35"/>
      <c r="C110" s="46"/>
      <c r="D110" s="46"/>
      <c r="E110" s="38"/>
      <c r="F110" s="35"/>
      <c r="G110" s="35"/>
      <c r="H110" s="8" t="s">
        <v>180</v>
      </c>
      <c r="I110" s="5">
        <v>69.680000000000007</v>
      </c>
      <c r="J110" s="5">
        <v>40</v>
      </c>
      <c r="K110" s="5">
        <f t="shared" si="4"/>
        <v>2787.2000000000003</v>
      </c>
      <c r="L110" s="35"/>
      <c r="M110" s="35"/>
      <c r="N110" s="35"/>
      <c r="O110" s="48"/>
      <c r="P110" s="35"/>
    </row>
    <row r="111" spans="2:16" x14ac:dyDescent="0.25">
      <c r="B111" s="35"/>
      <c r="C111" s="46"/>
      <c r="D111" s="46"/>
      <c r="E111" s="38"/>
      <c r="F111" s="35"/>
      <c r="G111" s="35"/>
      <c r="H111" s="8" t="s">
        <v>181</v>
      </c>
      <c r="I111" s="5">
        <v>144.56</v>
      </c>
      <c r="J111" s="5">
        <v>50</v>
      </c>
      <c r="K111" s="5">
        <f t="shared" si="4"/>
        <v>7228</v>
      </c>
      <c r="L111" s="35"/>
      <c r="M111" s="35"/>
      <c r="N111" s="35"/>
      <c r="O111" s="48"/>
      <c r="P111" s="35"/>
    </row>
    <row r="112" spans="2:16" x14ac:dyDescent="0.25">
      <c r="B112" s="35"/>
      <c r="C112" s="46"/>
      <c r="D112" s="46"/>
      <c r="E112" s="38"/>
      <c r="F112" s="35"/>
      <c r="G112" s="35"/>
      <c r="H112" s="8" t="s">
        <v>182</v>
      </c>
      <c r="I112" s="5">
        <v>70.72</v>
      </c>
      <c r="J112" s="5">
        <v>600</v>
      </c>
      <c r="K112" s="5">
        <f t="shared" si="4"/>
        <v>42432</v>
      </c>
      <c r="L112" s="35"/>
      <c r="M112" s="35"/>
      <c r="N112" s="35"/>
      <c r="O112" s="48"/>
      <c r="P112" s="35"/>
    </row>
    <row r="113" spans="2:16" x14ac:dyDescent="0.25">
      <c r="B113" s="35"/>
      <c r="C113" s="46"/>
      <c r="D113" s="46"/>
      <c r="E113" s="38"/>
      <c r="F113" s="35"/>
      <c r="G113" s="35"/>
      <c r="H113" s="8" t="s">
        <v>183</v>
      </c>
      <c r="I113" s="5">
        <v>338</v>
      </c>
      <c r="J113" s="5">
        <v>100</v>
      </c>
      <c r="K113" s="5">
        <f t="shared" si="4"/>
        <v>33800</v>
      </c>
      <c r="L113" s="35"/>
      <c r="M113" s="35"/>
      <c r="N113" s="35"/>
      <c r="O113" s="48"/>
      <c r="P113" s="35"/>
    </row>
    <row r="114" spans="2:16" x14ac:dyDescent="0.25">
      <c r="B114" s="35"/>
      <c r="C114" s="46"/>
      <c r="D114" s="46"/>
      <c r="E114" s="38"/>
      <c r="F114" s="35"/>
      <c r="G114" s="35"/>
      <c r="H114" s="8" t="s">
        <v>184</v>
      </c>
      <c r="I114" s="5">
        <v>154.96</v>
      </c>
      <c r="J114" s="5">
        <v>300</v>
      </c>
      <c r="K114" s="5">
        <f t="shared" si="4"/>
        <v>46488</v>
      </c>
      <c r="L114" s="35"/>
      <c r="M114" s="35"/>
      <c r="N114" s="35"/>
      <c r="O114" s="48"/>
      <c r="P114" s="35"/>
    </row>
    <row r="115" spans="2:16" x14ac:dyDescent="0.25">
      <c r="B115" s="35"/>
      <c r="C115" s="46"/>
      <c r="D115" s="46"/>
      <c r="E115" s="38"/>
      <c r="F115" s="35"/>
      <c r="G115" s="35"/>
      <c r="H115" s="8" t="s">
        <v>185</v>
      </c>
      <c r="I115" s="5">
        <v>288.08</v>
      </c>
      <c r="J115" s="5">
        <v>50</v>
      </c>
      <c r="K115" s="5">
        <f t="shared" si="4"/>
        <v>14404</v>
      </c>
      <c r="L115" s="35"/>
      <c r="M115" s="35"/>
      <c r="N115" s="35"/>
      <c r="O115" s="48"/>
      <c r="P115" s="35"/>
    </row>
    <row r="116" spans="2:16" x14ac:dyDescent="0.25">
      <c r="B116" s="35"/>
      <c r="C116" s="46"/>
      <c r="D116" s="46"/>
      <c r="E116" s="38"/>
      <c r="F116" s="35"/>
      <c r="G116" s="35"/>
      <c r="H116" s="8" t="s">
        <v>186</v>
      </c>
      <c r="I116" s="5">
        <v>126.36</v>
      </c>
      <c r="J116" s="5">
        <v>200</v>
      </c>
      <c r="K116" s="5">
        <f t="shared" si="4"/>
        <v>25272</v>
      </c>
      <c r="L116" s="35"/>
      <c r="M116" s="35"/>
      <c r="N116" s="35"/>
      <c r="O116" s="48"/>
      <c r="P116" s="35"/>
    </row>
    <row r="117" spans="2:16" x14ac:dyDescent="0.25">
      <c r="B117" s="35"/>
      <c r="C117" s="46"/>
      <c r="D117" s="46"/>
      <c r="E117" s="38"/>
      <c r="F117" s="35"/>
      <c r="G117" s="35"/>
      <c r="H117" s="8" t="s">
        <v>187</v>
      </c>
      <c r="I117" s="5">
        <v>78</v>
      </c>
      <c r="J117" s="5">
        <v>40</v>
      </c>
      <c r="K117" s="5">
        <f t="shared" si="4"/>
        <v>3120</v>
      </c>
      <c r="L117" s="35"/>
      <c r="M117" s="35"/>
      <c r="N117" s="35"/>
      <c r="O117" s="48"/>
      <c r="P117" s="35"/>
    </row>
    <row r="118" spans="2:16" x14ac:dyDescent="0.25">
      <c r="B118" s="35"/>
      <c r="C118" s="46"/>
      <c r="D118" s="46"/>
      <c r="E118" s="38"/>
      <c r="F118" s="35"/>
      <c r="G118" s="35"/>
      <c r="H118" s="8" t="s">
        <v>188</v>
      </c>
      <c r="I118" s="5">
        <v>250.9</v>
      </c>
      <c r="J118" s="5">
        <v>40</v>
      </c>
      <c r="K118" s="5">
        <f t="shared" si="4"/>
        <v>10036</v>
      </c>
      <c r="L118" s="35"/>
      <c r="M118" s="35"/>
      <c r="N118" s="35"/>
      <c r="O118" s="48"/>
      <c r="P118" s="35"/>
    </row>
    <row r="119" spans="2:16" x14ac:dyDescent="0.25">
      <c r="B119" s="35"/>
      <c r="C119" s="46"/>
      <c r="D119" s="46"/>
      <c r="E119" s="38"/>
      <c r="F119" s="35"/>
      <c r="G119" s="35"/>
      <c r="H119" s="8" t="s">
        <v>189</v>
      </c>
      <c r="I119" s="5">
        <v>74.88</v>
      </c>
      <c r="J119" s="5">
        <v>400</v>
      </c>
      <c r="K119" s="5">
        <f t="shared" si="4"/>
        <v>29952</v>
      </c>
      <c r="L119" s="35"/>
      <c r="M119" s="35"/>
      <c r="N119" s="35"/>
      <c r="O119" s="48"/>
      <c r="P119" s="35"/>
    </row>
    <row r="120" spans="2:16" x14ac:dyDescent="0.25">
      <c r="B120" s="35"/>
      <c r="C120" s="46"/>
      <c r="D120" s="46"/>
      <c r="E120" s="38"/>
      <c r="F120" s="35"/>
      <c r="G120" s="35"/>
      <c r="H120" s="8" t="s">
        <v>190</v>
      </c>
      <c r="I120" s="5">
        <v>226.2</v>
      </c>
      <c r="J120" s="5">
        <v>50</v>
      </c>
      <c r="K120" s="5">
        <f t="shared" si="4"/>
        <v>11310</v>
      </c>
      <c r="L120" s="35"/>
      <c r="M120" s="35"/>
      <c r="N120" s="35"/>
      <c r="O120" s="48"/>
      <c r="P120" s="35"/>
    </row>
    <row r="121" spans="2:16" x14ac:dyDescent="0.25">
      <c r="B121" s="35"/>
      <c r="C121" s="46"/>
      <c r="D121" s="46"/>
      <c r="E121" s="38"/>
      <c r="F121" s="35"/>
      <c r="G121" s="35"/>
      <c r="H121" s="8" t="s">
        <v>130</v>
      </c>
      <c r="I121" s="5">
        <v>3360.4</v>
      </c>
      <c r="J121" s="5">
        <v>18</v>
      </c>
      <c r="K121" s="5">
        <f t="shared" si="4"/>
        <v>60487.200000000004</v>
      </c>
      <c r="L121" s="35"/>
      <c r="M121" s="35"/>
      <c r="N121" s="35"/>
      <c r="O121" s="48"/>
      <c r="P121" s="35"/>
    </row>
    <row r="122" spans="2:16" x14ac:dyDescent="0.25">
      <c r="B122" s="36"/>
      <c r="C122" s="41"/>
      <c r="D122" s="41"/>
      <c r="E122" s="39"/>
      <c r="F122" s="36"/>
      <c r="G122" s="36"/>
      <c r="H122" s="8" t="s">
        <v>191</v>
      </c>
      <c r="I122" s="5">
        <v>3338.7</v>
      </c>
      <c r="J122" s="5">
        <v>6</v>
      </c>
      <c r="K122" s="5">
        <f t="shared" si="4"/>
        <v>20032.199999999997</v>
      </c>
      <c r="L122" s="36"/>
      <c r="M122" s="36"/>
      <c r="N122" s="36"/>
      <c r="O122" s="49"/>
      <c r="P122" s="36"/>
    </row>
    <row r="123" spans="2:16" x14ac:dyDescent="0.25">
      <c r="B123" s="34">
        <v>25</v>
      </c>
      <c r="C123" s="34" t="s">
        <v>193</v>
      </c>
      <c r="D123" s="34" t="s">
        <v>194</v>
      </c>
      <c r="E123" s="37">
        <v>45849</v>
      </c>
      <c r="F123" s="34" t="s">
        <v>195</v>
      </c>
      <c r="G123" s="34" t="s">
        <v>196</v>
      </c>
      <c r="H123" s="8" t="s">
        <v>197</v>
      </c>
      <c r="I123" s="5">
        <v>230</v>
      </c>
      <c r="J123" s="5">
        <v>90</v>
      </c>
      <c r="K123" s="5">
        <f t="shared" si="4"/>
        <v>20700</v>
      </c>
      <c r="L123" s="3" t="s">
        <v>203</v>
      </c>
      <c r="M123" s="34" t="s">
        <v>204</v>
      </c>
      <c r="N123" s="44" t="s">
        <v>205</v>
      </c>
      <c r="O123" s="34">
        <v>8080808521</v>
      </c>
      <c r="P123" s="34" t="s">
        <v>206</v>
      </c>
    </row>
    <row r="124" spans="2:16" x14ac:dyDescent="0.25">
      <c r="B124" s="35"/>
      <c r="C124" s="35"/>
      <c r="D124" s="35"/>
      <c r="E124" s="38"/>
      <c r="F124" s="35"/>
      <c r="G124" s="35"/>
      <c r="H124" s="8" t="s">
        <v>198</v>
      </c>
      <c r="I124" s="5">
        <v>230</v>
      </c>
      <c r="J124" s="5">
        <v>45</v>
      </c>
      <c r="K124" s="5">
        <f t="shared" si="4"/>
        <v>10350</v>
      </c>
      <c r="L124" s="3" t="s">
        <v>203</v>
      </c>
      <c r="M124" s="35"/>
      <c r="N124" s="50"/>
      <c r="O124" s="35"/>
      <c r="P124" s="35"/>
    </row>
    <row r="125" spans="2:16" x14ac:dyDescent="0.25">
      <c r="B125" s="35"/>
      <c r="C125" s="35"/>
      <c r="D125" s="35"/>
      <c r="E125" s="38"/>
      <c r="F125" s="35"/>
      <c r="G125" s="35"/>
      <c r="H125" s="8" t="s">
        <v>199</v>
      </c>
      <c r="I125" s="5">
        <v>230</v>
      </c>
      <c r="J125" s="5">
        <v>68</v>
      </c>
      <c r="K125" s="5">
        <f t="shared" si="4"/>
        <v>15640</v>
      </c>
      <c r="L125" s="3" t="s">
        <v>203</v>
      </c>
      <c r="M125" s="35"/>
      <c r="N125" s="50"/>
      <c r="O125" s="35"/>
      <c r="P125" s="35"/>
    </row>
    <row r="126" spans="2:16" x14ac:dyDescent="0.25">
      <c r="B126" s="35"/>
      <c r="C126" s="35"/>
      <c r="D126" s="35"/>
      <c r="E126" s="38"/>
      <c r="F126" s="35"/>
      <c r="G126" s="35"/>
      <c r="H126" s="8" t="s">
        <v>200</v>
      </c>
      <c r="I126" s="5">
        <v>230</v>
      </c>
      <c r="J126" s="5">
        <v>5</v>
      </c>
      <c r="K126" s="5">
        <f t="shared" si="4"/>
        <v>1150</v>
      </c>
      <c r="L126" s="3" t="s">
        <v>203</v>
      </c>
      <c r="M126" s="35"/>
      <c r="N126" s="50"/>
      <c r="O126" s="35"/>
      <c r="P126" s="35"/>
    </row>
    <row r="127" spans="2:16" x14ac:dyDescent="0.25">
      <c r="B127" s="35"/>
      <c r="C127" s="35"/>
      <c r="D127" s="35"/>
      <c r="E127" s="38"/>
      <c r="F127" s="35"/>
      <c r="G127" s="35"/>
      <c r="H127" s="8" t="s">
        <v>201</v>
      </c>
      <c r="I127" s="5">
        <v>125</v>
      </c>
      <c r="J127" s="5">
        <v>10</v>
      </c>
      <c r="K127" s="5">
        <f t="shared" si="4"/>
        <v>1250</v>
      </c>
      <c r="L127" s="3" t="s">
        <v>26</v>
      </c>
      <c r="M127" s="35"/>
      <c r="N127" s="50"/>
      <c r="O127" s="35"/>
      <c r="P127" s="35"/>
    </row>
    <row r="128" spans="2:16" x14ac:dyDescent="0.25">
      <c r="B128" s="36"/>
      <c r="C128" s="36"/>
      <c r="D128" s="36"/>
      <c r="E128" s="39"/>
      <c r="F128" s="36"/>
      <c r="G128" s="36"/>
      <c r="H128" s="8" t="s">
        <v>202</v>
      </c>
      <c r="I128" s="5">
        <v>40</v>
      </c>
      <c r="J128" s="5">
        <v>1</v>
      </c>
      <c r="K128" s="5">
        <f t="shared" si="4"/>
        <v>40</v>
      </c>
      <c r="L128" s="3" t="s">
        <v>26</v>
      </c>
      <c r="M128" s="36"/>
      <c r="N128" s="45"/>
      <c r="O128" s="36"/>
      <c r="P128" s="36"/>
    </row>
    <row r="129" spans="2:16" x14ac:dyDescent="0.25">
      <c r="B129" s="3">
        <v>26</v>
      </c>
      <c r="C129" s="1"/>
      <c r="D129" s="1"/>
      <c r="E129" s="9">
        <v>45819</v>
      </c>
      <c r="F129" s="26">
        <v>112510000771</v>
      </c>
      <c r="G129" s="3" t="s">
        <v>207</v>
      </c>
      <c r="H129" s="8" t="s">
        <v>208</v>
      </c>
      <c r="I129" s="5">
        <v>165</v>
      </c>
      <c r="J129" s="5">
        <v>718</v>
      </c>
      <c r="K129" s="5">
        <f t="shared" si="4"/>
        <v>118470</v>
      </c>
      <c r="L129" s="3" t="s">
        <v>203</v>
      </c>
      <c r="M129" s="3" t="s">
        <v>209</v>
      </c>
      <c r="N129" s="3" t="s">
        <v>210</v>
      </c>
      <c r="O129" s="3" t="s">
        <v>70</v>
      </c>
      <c r="P129" s="3" t="s">
        <v>70</v>
      </c>
    </row>
    <row r="130" spans="2:16" x14ac:dyDescent="0.25">
      <c r="B130" s="3">
        <v>27</v>
      </c>
      <c r="C130" s="1"/>
      <c r="D130" s="1"/>
      <c r="E130" s="9">
        <v>45902</v>
      </c>
      <c r="F130" s="3" t="s">
        <v>211</v>
      </c>
      <c r="G130" s="3" t="s">
        <v>212</v>
      </c>
      <c r="H130" s="8" t="s">
        <v>213</v>
      </c>
      <c r="I130" s="5">
        <v>135</v>
      </c>
      <c r="J130" s="5">
        <v>600</v>
      </c>
      <c r="K130" s="5">
        <f t="shared" si="4"/>
        <v>81000</v>
      </c>
      <c r="L130" s="3" t="s">
        <v>82</v>
      </c>
      <c r="M130" s="3" t="s">
        <v>214</v>
      </c>
      <c r="N130" s="3" t="s">
        <v>215</v>
      </c>
      <c r="O130" s="25" t="s">
        <v>216</v>
      </c>
      <c r="P130" s="3" t="s">
        <v>217</v>
      </c>
    </row>
    <row r="131" spans="2:16" x14ac:dyDescent="0.25">
      <c r="B131" s="34">
        <v>28</v>
      </c>
      <c r="C131" s="40"/>
      <c r="D131" s="40"/>
      <c r="E131" s="37">
        <v>45882</v>
      </c>
      <c r="F131" s="34" t="s">
        <v>218</v>
      </c>
      <c r="G131" s="34" t="s">
        <v>73</v>
      </c>
      <c r="H131" s="8" t="s">
        <v>219</v>
      </c>
      <c r="I131" s="5">
        <v>40807</v>
      </c>
      <c r="J131" s="5">
        <v>1</v>
      </c>
      <c r="K131" s="5">
        <f t="shared" si="4"/>
        <v>40807</v>
      </c>
      <c r="L131" s="3" t="s">
        <v>82</v>
      </c>
      <c r="M131" s="34" t="s">
        <v>75</v>
      </c>
      <c r="N131" s="34" t="s">
        <v>76</v>
      </c>
      <c r="O131" s="61" t="s">
        <v>77</v>
      </c>
      <c r="P131" s="34" t="s">
        <v>78</v>
      </c>
    </row>
    <row r="132" spans="2:16" x14ac:dyDescent="0.25">
      <c r="B132" s="35"/>
      <c r="C132" s="46"/>
      <c r="D132" s="46"/>
      <c r="E132" s="38"/>
      <c r="F132" s="35"/>
      <c r="G132" s="35"/>
      <c r="H132" s="8" t="s">
        <v>220</v>
      </c>
      <c r="I132" s="5">
        <v>150</v>
      </c>
      <c r="J132" s="5">
        <v>1</v>
      </c>
      <c r="K132" s="5">
        <f t="shared" si="4"/>
        <v>150</v>
      </c>
      <c r="L132" s="3" t="s">
        <v>148</v>
      </c>
      <c r="M132" s="35"/>
      <c r="N132" s="35"/>
      <c r="O132" s="62"/>
      <c r="P132" s="35"/>
    </row>
    <row r="133" spans="2:16" x14ac:dyDescent="0.25">
      <c r="B133" s="35"/>
      <c r="C133" s="46"/>
      <c r="D133" s="46"/>
      <c r="E133" s="38"/>
      <c r="F133" s="35"/>
      <c r="G133" s="35"/>
      <c r="H133" s="8" t="s">
        <v>221</v>
      </c>
      <c r="I133" s="5">
        <v>800</v>
      </c>
      <c r="J133" s="5">
        <v>1</v>
      </c>
      <c r="K133" s="5">
        <f t="shared" si="4"/>
        <v>800</v>
      </c>
      <c r="L133" s="3" t="s">
        <v>148</v>
      </c>
      <c r="M133" s="35"/>
      <c r="N133" s="35"/>
      <c r="O133" s="62"/>
      <c r="P133" s="35"/>
    </row>
    <row r="134" spans="2:16" x14ac:dyDescent="0.25">
      <c r="B134" s="35"/>
      <c r="C134" s="46"/>
      <c r="D134" s="46"/>
      <c r="E134" s="38"/>
      <c r="F134" s="35"/>
      <c r="G134" s="35"/>
      <c r="H134" s="8" t="s">
        <v>144</v>
      </c>
      <c r="I134" s="5">
        <v>400</v>
      </c>
      <c r="J134" s="5">
        <v>1</v>
      </c>
      <c r="K134" s="5">
        <f t="shared" si="4"/>
        <v>400</v>
      </c>
      <c r="L134" s="3" t="s">
        <v>148</v>
      </c>
      <c r="M134" s="35"/>
      <c r="N134" s="35"/>
      <c r="O134" s="62"/>
      <c r="P134" s="35"/>
    </row>
    <row r="135" spans="2:16" x14ac:dyDescent="0.25">
      <c r="B135" s="35"/>
      <c r="C135" s="46"/>
      <c r="D135" s="46"/>
      <c r="E135" s="38"/>
      <c r="F135" s="35"/>
      <c r="G135" s="35"/>
      <c r="H135" s="8" t="s">
        <v>222</v>
      </c>
      <c r="I135" s="5">
        <v>285</v>
      </c>
      <c r="J135" s="5">
        <v>1</v>
      </c>
      <c r="K135" s="5">
        <f t="shared" si="4"/>
        <v>285</v>
      </c>
      <c r="L135" s="3" t="s">
        <v>148</v>
      </c>
      <c r="M135" s="35"/>
      <c r="N135" s="35"/>
      <c r="O135" s="62"/>
      <c r="P135" s="35"/>
    </row>
    <row r="136" spans="2:16" x14ac:dyDescent="0.25">
      <c r="B136" s="35"/>
      <c r="C136" s="46"/>
      <c r="D136" s="46"/>
      <c r="E136" s="38"/>
      <c r="F136" s="35"/>
      <c r="G136" s="35"/>
      <c r="H136" s="8" t="s">
        <v>145</v>
      </c>
      <c r="I136" s="5">
        <v>1300.31</v>
      </c>
      <c r="J136" s="5">
        <v>1</v>
      </c>
      <c r="K136" s="5">
        <f t="shared" si="4"/>
        <v>1300.31</v>
      </c>
      <c r="L136" s="3" t="s">
        <v>148</v>
      </c>
      <c r="M136" s="35"/>
      <c r="N136" s="35"/>
      <c r="O136" s="62"/>
      <c r="P136" s="35"/>
    </row>
    <row r="137" spans="2:16" x14ac:dyDescent="0.25">
      <c r="B137" s="35"/>
      <c r="C137" s="46"/>
      <c r="D137" s="46"/>
      <c r="E137" s="38"/>
      <c r="F137" s="35"/>
      <c r="G137" s="35"/>
      <c r="H137" s="8" t="s">
        <v>146</v>
      </c>
      <c r="I137" s="5">
        <v>1000</v>
      </c>
      <c r="J137" s="5">
        <v>1</v>
      </c>
      <c r="K137" s="5">
        <f t="shared" si="4"/>
        <v>1000</v>
      </c>
      <c r="L137" s="3" t="s">
        <v>148</v>
      </c>
      <c r="M137" s="35"/>
      <c r="N137" s="35"/>
      <c r="O137" s="62"/>
      <c r="P137" s="35"/>
    </row>
    <row r="138" spans="2:16" x14ac:dyDescent="0.25">
      <c r="B138" s="35"/>
      <c r="C138" s="46"/>
      <c r="D138" s="46"/>
      <c r="E138" s="38"/>
      <c r="F138" s="35"/>
      <c r="G138" s="35"/>
      <c r="H138" s="8" t="s">
        <v>147</v>
      </c>
      <c r="I138" s="5">
        <v>500</v>
      </c>
      <c r="J138" s="5">
        <v>1</v>
      </c>
      <c r="K138" s="5">
        <f t="shared" si="4"/>
        <v>500</v>
      </c>
      <c r="L138" s="3" t="s">
        <v>148</v>
      </c>
      <c r="M138" s="35"/>
      <c r="N138" s="35"/>
      <c r="O138" s="62"/>
      <c r="P138" s="35"/>
    </row>
    <row r="139" spans="2:16" x14ac:dyDescent="0.25">
      <c r="B139" s="35"/>
      <c r="C139" s="46"/>
      <c r="D139" s="46"/>
      <c r="E139" s="38"/>
      <c r="F139" s="35"/>
      <c r="G139" s="35"/>
      <c r="H139" s="8" t="s">
        <v>223</v>
      </c>
      <c r="I139" s="5">
        <v>1000</v>
      </c>
      <c r="J139" s="5">
        <v>1</v>
      </c>
      <c r="K139" s="5">
        <f t="shared" si="4"/>
        <v>1000</v>
      </c>
      <c r="L139" s="3" t="s">
        <v>148</v>
      </c>
      <c r="M139" s="35"/>
      <c r="N139" s="35"/>
      <c r="O139" s="62"/>
      <c r="P139" s="35"/>
    </row>
    <row r="140" spans="2:16" x14ac:dyDescent="0.25">
      <c r="B140" s="36"/>
      <c r="C140" s="41"/>
      <c r="D140" s="41"/>
      <c r="E140" s="39"/>
      <c r="F140" s="36"/>
      <c r="G140" s="36"/>
      <c r="H140" s="8" t="s">
        <v>224</v>
      </c>
      <c r="I140" s="5">
        <v>200</v>
      </c>
      <c r="J140" s="5">
        <v>1</v>
      </c>
      <c r="K140" s="5">
        <f t="shared" si="4"/>
        <v>200</v>
      </c>
      <c r="L140" s="3" t="s">
        <v>148</v>
      </c>
      <c r="M140" s="36"/>
      <c r="N140" s="36"/>
      <c r="O140" s="63"/>
      <c r="P140" s="36"/>
    </row>
    <row r="141" spans="2:16" x14ac:dyDescent="0.25">
      <c r="B141" s="34">
        <v>29</v>
      </c>
      <c r="C141" s="40"/>
      <c r="D141" s="40"/>
      <c r="E141" s="37">
        <v>45832</v>
      </c>
      <c r="F141" s="34" t="s">
        <v>225</v>
      </c>
      <c r="G141" s="34" t="s">
        <v>226</v>
      </c>
      <c r="H141" s="8" t="s">
        <v>227</v>
      </c>
      <c r="I141" s="5">
        <v>42.37</v>
      </c>
      <c r="J141" s="5">
        <v>5</v>
      </c>
      <c r="K141" s="5">
        <f t="shared" si="4"/>
        <v>211.85</v>
      </c>
      <c r="L141" s="3" t="s">
        <v>26</v>
      </c>
      <c r="M141" s="34" t="s">
        <v>230</v>
      </c>
      <c r="N141" s="34" t="s">
        <v>231</v>
      </c>
      <c r="O141" s="34">
        <v>9920603483</v>
      </c>
      <c r="P141" s="34" t="s">
        <v>232</v>
      </c>
    </row>
    <row r="142" spans="2:16" x14ac:dyDescent="0.25">
      <c r="B142" s="36"/>
      <c r="C142" s="41"/>
      <c r="D142" s="41"/>
      <c r="E142" s="39"/>
      <c r="F142" s="36"/>
      <c r="G142" s="36"/>
      <c r="H142" s="8" t="s">
        <v>228</v>
      </c>
      <c r="I142" s="5">
        <v>673.73</v>
      </c>
      <c r="J142" s="5">
        <v>15</v>
      </c>
      <c r="K142" s="5">
        <f t="shared" si="4"/>
        <v>10105.950000000001</v>
      </c>
      <c r="L142" s="3" t="s">
        <v>229</v>
      </c>
      <c r="M142" s="36"/>
      <c r="N142" s="36"/>
      <c r="O142" s="36"/>
      <c r="P142" s="36"/>
    </row>
    <row r="143" spans="2:16" x14ac:dyDescent="0.25">
      <c r="B143" s="34">
        <v>30</v>
      </c>
      <c r="C143" s="34" t="s">
        <v>193</v>
      </c>
      <c r="D143" s="34" t="s">
        <v>194</v>
      </c>
      <c r="E143" s="37">
        <v>45821</v>
      </c>
      <c r="F143" s="34" t="s">
        <v>233</v>
      </c>
      <c r="G143" s="34" t="s">
        <v>196</v>
      </c>
      <c r="H143" s="8" t="s">
        <v>234</v>
      </c>
      <c r="I143" s="5">
        <v>230</v>
      </c>
      <c r="J143" s="5">
        <v>216</v>
      </c>
      <c r="K143" s="5">
        <f t="shared" si="4"/>
        <v>49680</v>
      </c>
      <c r="L143" s="3" t="s">
        <v>203</v>
      </c>
      <c r="M143" s="34" t="s">
        <v>204</v>
      </c>
      <c r="N143" s="44" t="s">
        <v>205</v>
      </c>
      <c r="O143" s="34">
        <v>8080808521</v>
      </c>
      <c r="P143" s="34" t="s">
        <v>206</v>
      </c>
    </row>
    <row r="144" spans="2:16" x14ac:dyDescent="0.25">
      <c r="B144" s="35"/>
      <c r="C144" s="35"/>
      <c r="D144" s="35"/>
      <c r="E144" s="38"/>
      <c r="F144" s="35"/>
      <c r="G144" s="35"/>
      <c r="H144" s="8" t="s">
        <v>236</v>
      </c>
      <c r="I144" s="5">
        <v>40</v>
      </c>
      <c r="J144" s="5">
        <v>6</v>
      </c>
      <c r="K144" s="5">
        <f t="shared" si="4"/>
        <v>240</v>
      </c>
      <c r="L144" s="34" t="s">
        <v>26</v>
      </c>
      <c r="M144" s="35"/>
      <c r="N144" s="50"/>
      <c r="O144" s="35"/>
      <c r="P144" s="35"/>
    </row>
    <row r="145" spans="2:16" x14ac:dyDescent="0.25">
      <c r="B145" s="35"/>
      <c r="C145" s="35"/>
      <c r="D145" s="35"/>
      <c r="E145" s="38"/>
      <c r="F145" s="35"/>
      <c r="G145" s="35"/>
      <c r="H145" s="8" t="s">
        <v>237</v>
      </c>
      <c r="I145" s="5">
        <v>25</v>
      </c>
      <c r="J145" s="5">
        <v>6</v>
      </c>
      <c r="K145" s="5">
        <f t="shared" si="4"/>
        <v>150</v>
      </c>
      <c r="L145" s="35"/>
      <c r="M145" s="35"/>
      <c r="N145" s="50"/>
      <c r="O145" s="35"/>
      <c r="P145" s="35"/>
    </row>
    <row r="146" spans="2:16" x14ac:dyDescent="0.25">
      <c r="B146" s="35"/>
      <c r="C146" s="35"/>
      <c r="D146" s="35"/>
      <c r="E146" s="38"/>
      <c r="F146" s="35"/>
      <c r="G146" s="35"/>
      <c r="H146" s="8" t="s">
        <v>235</v>
      </c>
      <c r="I146" s="5">
        <v>25</v>
      </c>
      <c r="J146" s="5">
        <v>6</v>
      </c>
      <c r="K146" s="5">
        <f t="shared" si="4"/>
        <v>150</v>
      </c>
      <c r="L146" s="35"/>
      <c r="M146" s="35"/>
      <c r="N146" s="50"/>
      <c r="O146" s="35"/>
      <c r="P146" s="35"/>
    </row>
    <row r="147" spans="2:16" x14ac:dyDescent="0.25">
      <c r="B147" s="35"/>
      <c r="C147" s="35"/>
      <c r="D147" s="35"/>
      <c r="E147" s="38"/>
      <c r="F147" s="35"/>
      <c r="G147" s="35"/>
      <c r="H147" s="8" t="s">
        <v>238</v>
      </c>
      <c r="I147" s="5">
        <v>20</v>
      </c>
      <c r="J147" s="5">
        <v>30</v>
      </c>
      <c r="K147" s="5">
        <f t="shared" si="4"/>
        <v>600</v>
      </c>
      <c r="L147" s="35"/>
      <c r="M147" s="35"/>
      <c r="N147" s="50"/>
      <c r="O147" s="35"/>
      <c r="P147" s="35"/>
    </row>
    <row r="148" spans="2:16" x14ac:dyDescent="0.25">
      <c r="B148" s="35"/>
      <c r="C148" s="35"/>
      <c r="D148" s="35"/>
      <c r="E148" s="38"/>
      <c r="F148" s="35"/>
      <c r="G148" s="35"/>
      <c r="H148" s="8" t="s">
        <v>239</v>
      </c>
      <c r="I148" s="5">
        <v>12</v>
      </c>
      <c r="J148" s="5">
        <v>50</v>
      </c>
      <c r="K148" s="5">
        <f t="shared" si="4"/>
        <v>600</v>
      </c>
      <c r="L148" s="35"/>
      <c r="M148" s="35"/>
      <c r="N148" s="50"/>
      <c r="O148" s="35"/>
      <c r="P148" s="35"/>
    </row>
    <row r="149" spans="2:16" x14ac:dyDescent="0.25">
      <c r="B149" s="35"/>
      <c r="C149" s="35"/>
      <c r="D149" s="35"/>
      <c r="E149" s="38"/>
      <c r="F149" s="35"/>
      <c r="G149" s="35"/>
      <c r="H149" s="8" t="s">
        <v>239</v>
      </c>
      <c r="I149" s="5">
        <v>70</v>
      </c>
      <c r="J149" s="5">
        <v>2</v>
      </c>
      <c r="K149" s="5">
        <f t="shared" si="4"/>
        <v>140</v>
      </c>
      <c r="L149" s="35"/>
      <c r="M149" s="35"/>
      <c r="N149" s="50"/>
      <c r="O149" s="35"/>
      <c r="P149" s="35"/>
    </row>
    <row r="150" spans="2:16" x14ac:dyDescent="0.25">
      <c r="B150" s="35"/>
      <c r="C150" s="35"/>
      <c r="D150" s="35"/>
      <c r="E150" s="38"/>
      <c r="F150" s="35"/>
      <c r="G150" s="35"/>
      <c r="H150" s="8" t="s">
        <v>239</v>
      </c>
      <c r="I150" s="5">
        <v>40</v>
      </c>
      <c r="J150" s="5">
        <v>10</v>
      </c>
      <c r="K150" s="5">
        <f t="shared" si="4"/>
        <v>400</v>
      </c>
      <c r="L150" s="35"/>
      <c r="M150" s="35"/>
      <c r="N150" s="50"/>
      <c r="O150" s="35"/>
      <c r="P150" s="35"/>
    </row>
    <row r="151" spans="2:16" x14ac:dyDescent="0.25">
      <c r="B151" s="35"/>
      <c r="C151" s="35"/>
      <c r="D151" s="35"/>
      <c r="E151" s="38"/>
      <c r="F151" s="35"/>
      <c r="G151" s="35"/>
      <c r="H151" s="8" t="s">
        <v>239</v>
      </c>
      <c r="I151" s="5">
        <v>40</v>
      </c>
      <c r="J151" s="5">
        <v>10</v>
      </c>
      <c r="K151" s="5">
        <f t="shared" si="4"/>
        <v>400</v>
      </c>
      <c r="L151" s="35"/>
      <c r="M151" s="35"/>
      <c r="N151" s="50"/>
      <c r="O151" s="35"/>
      <c r="P151" s="35"/>
    </row>
    <row r="152" spans="2:16" x14ac:dyDescent="0.25">
      <c r="B152" s="35"/>
      <c r="C152" s="35"/>
      <c r="D152" s="35"/>
      <c r="E152" s="38"/>
      <c r="F152" s="35"/>
      <c r="G152" s="35"/>
      <c r="H152" s="8" t="s">
        <v>240</v>
      </c>
      <c r="I152" s="5">
        <v>35</v>
      </c>
      <c r="J152" s="5">
        <v>10</v>
      </c>
      <c r="K152" s="5">
        <f t="shared" si="4"/>
        <v>350</v>
      </c>
      <c r="L152" s="35"/>
      <c r="M152" s="35"/>
      <c r="N152" s="50"/>
      <c r="O152" s="35"/>
      <c r="P152" s="35"/>
    </row>
    <row r="153" spans="2:16" x14ac:dyDescent="0.25">
      <c r="B153" s="36"/>
      <c r="C153" s="36"/>
      <c r="D153" s="36"/>
      <c r="E153" s="39"/>
      <c r="F153" s="36"/>
      <c r="G153" s="36"/>
      <c r="H153" s="8" t="s">
        <v>241</v>
      </c>
      <c r="I153" s="5">
        <v>35</v>
      </c>
      <c r="J153" s="5">
        <v>20</v>
      </c>
      <c r="K153" s="5">
        <f t="shared" si="4"/>
        <v>700</v>
      </c>
      <c r="L153" s="36"/>
      <c r="M153" s="36"/>
      <c r="N153" s="45"/>
      <c r="O153" s="36"/>
      <c r="P153" s="36"/>
    </row>
    <row r="154" spans="2:16" x14ac:dyDescent="0.25">
      <c r="B154" s="3">
        <v>31</v>
      </c>
      <c r="C154" s="1"/>
      <c r="D154" s="1"/>
      <c r="E154" s="9">
        <v>45796</v>
      </c>
      <c r="F154" s="27">
        <v>112510000479</v>
      </c>
      <c r="G154" s="3" t="s">
        <v>207</v>
      </c>
      <c r="H154" s="8" t="s">
        <v>242</v>
      </c>
      <c r="I154" s="5">
        <v>209</v>
      </c>
      <c r="J154" s="5">
        <v>1164.9000000000001</v>
      </c>
      <c r="K154" s="5">
        <f t="shared" ref="K154:K217" si="5">I154*J154</f>
        <v>243464.1</v>
      </c>
      <c r="L154" s="3" t="s">
        <v>18</v>
      </c>
      <c r="M154" s="3" t="s">
        <v>209</v>
      </c>
      <c r="N154" s="3" t="s">
        <v>210</v>
      </c>
      <c r="O154" s="3" t="s">
        <v>70</v>
      </c>
      <c r="P154" s="3" t="s">
        <v>70</v>
      </c>
    </row>
    <row r="155" spans="2:16" x14ac:dyDescent="0.25">
      <c r="B155" s="3">
        <v>32</v>
      </c>
      <c r="C155" s="1"/>
      <c r="D155" s="1"/>
      <c r="E155" s="9">
        <v>45805</v>
      </c>
      <c r="F155" s="3" t="s">
        <v>243</v>
      </c>
      <c r="G155" s="3" t="s">
        <v>226</v>
      </c>
      <c r="H155" s="8" t="s">
        <v>228</v>
      </c>
      <c r="I155" s="5">
        <v>673.73</v>
      </c>
      <c r="J155" s="5">
        <v>15</v>
      </c>
      <c r="K155" s="5">
        <f t="shared" si="5"/>
        <v>10105.950000000001</v>
      </c>
      <c r="L155" s="3" t="s">
        <v>229</v>
      </c>
      <c r="M155" s="3" t="s">
        <v>230</v>
      </c>
      <c r="N155" s="3" t="s">
        <v>231</v>
      </c>
      <c r="O155" s="3">
        <v>9920603483</v>
      </c>
      <c r="P155" s="3" t="s">
        <v>232</v>
      </c>
    </row>
    <row r="156" spans="2:16" x14ac:dyDescent="0.25">
      <c r="B156" s="3">
        <v>33</v>
      </c>
      <c r="C156" s="1" t="s">
        <v>14</v>
      </c>
      <c r="D156" s="8" t="s">
        <v>15</v>
      </c>
      <c r="E156" s="9">
        <v>45808</v>
      </c>
      <c r="F156" s="3">
        <v>4531</v>
      </c>
      <c r="G156" s="3" t="s">
        <v>16</v>
      </c>
      <c r="H156" s="8" t="s">
        <v>17</v>
      </c>
      <c r="I156" s="5">
        <v>191</v>
      </c>
      <c r="J156" s="5">
        <v>329.8</v>
      </c>
      <c r="K156" s="5">
        <f t="shared" si="5"/>
        <v>62991.8</v>
      </c>
      <c r="L156" s="3" t="s">
        <v>18</v>
      </c>
      <c r="M156" s="3" t="s">
        <v>19</v>
      </c>
      <c r="N156" s="3" t="s">
        <v>20</v>
      </c>
      <c r="O156" s="7">
        <v>8369879635</v>
      </c>
      <c r="P156" s="28" t="s">
        <v>21</v>
      </c>
    </row>
    <row r="157" spans="2:16" x14ac:dyDescent="0.25">
      <c r="B157" s="3">
        <v>34</v>
      </c>
      <c r="C157" s="1"/>
      <c r="D157" s="1"/>
      <c r="E157" s="9">
        <v>45758</v>
      </c>
      <c r="F157" s="3">
        <v>2829</v>
      </c>
      <c r="G157" s="3" t="s">
        <v>244</v>
      </c>
      <c r="H157" s="8" t="s">
        <v>245</v>
      </c>
      <c r="I157" s="5">
        <v>700</v>
      </c>
      <c r="J157" s="5">
        <v>50</v>
      </c>
      <c r="K157" s="5">
        <f t="shared" si="5"/>
        <v>35000</v>
      </c>
      <c r="L157" s="3" t="s">
        <v>82</v>
      </c>
      <c r="M157" s="3" t="s">
        <v>246</v>
      </c>
      <c r="N157" s="3" t="s">
        <v>247</v>
      </c>
      <c r="O157" s="3">
        <v>9818426072</v>
      </c>
      <c r="P157" s="3" t="s">
        <v>70</v>
      </c>
    </row>
    <row r="158" spans="2:16" x14ac:dyDescent="0.25">
      <c r="B158" s="34">
        <v>35</v>
      </c>
      <c r="C158" s="34"/>
      <c r="D158" s="34"/>
      <c r="E158" s="37">
        <v>45740</v>
      </c>
      <c r="F158" s="34" t="s">
        <v>248</v>
      </c>
      <c r="G158" s="34" t="s">
        <v>249</v>
      </c>
      <c r="H158" s="8" t="s">
        <v>250</v>
      </c>
      <c r="I158" s="5">
        <v>1130</v>
      </c>
      <c r="J158" s="5">
        <v>29.72</v>
      </c>
      <c r="K158" s="5">
        <f t="shared" si="5"/>
        <v>33583.599999999999</v>
      </c>
      <c r="L158" s="34" t="s">
        <v>203</v>
      </c>
      <c r="M158" s="34" t="s">
        <v>254</v>
      </c>
      <c r="N158" s="34" t="s">
        <v>20</v>
      </c>
      <c r="O158" s="34">
        <v>9322334253</v>
      </c>
      <c r="P158" s="34" t="s">
        <v>70</v>
      </c>
    </row>
    <row r="159" spans="2:16" x14ac:dyDescent="0.25">
      <c r="B159" s="35"/>
      <c r="C159" s="35"/>
      <c r="D159" s="35"/>
      <c r="E159" s="38"/>
      <c r="F159" s="35"/>
      <c r="G159" s="35"/>
      <c r="H159" s="8" t="s">
        <v>251</v>
      </c>
      <c r="I159" s="5">
        <v>1120</v>
      </c>
      <c r="J159" s="5">
        <v>32.97</v>
      </c>
      <c r="K159" s="5">
        <f t="shared" si="5"/>
        <v>36926.400000000001</v>
      </c>
      <c r="L159" s="35"/>
      <c r="M159" s="35"/>
      <c r="N159" s="35"/>
      <c r="O159" s="35"/>
      <c r="P159" s="35"/>
    </row>
    <row r="160" spans="2:16" x14ac:dyDescent="0.25">
      <c r="B160" s="35"/>
      <c r="C160" s="35"/>
      <c r="D160" s="35"/>
      <c r="E160" s="38"/>
      <c r="F160" s="35"/>
      <c r="G160" s="35"/>
      <c r="H160" s="8" t="s">
        <v>252</v>
      </c>
      <c r="I160" s="5">
        <v>1120</v>
      </c>
      <c r="J160" s="5">
        <v>64.53</v>
      </c>
      <c r="K160" s="5">
        <f t="shared" si="5"/>
        <v>72273.600000000006</v>
      </c>
      <c r="L160" s="35"/>
      <c r="M160" s="35"/>
      <c r="N160" s="35"/>
      <c r="O160" s="35"/>
      <c r="P160" s="35"/>
    </row>
    <row r="161" spans="2:16" x14ac:dyDescent="0.25">
      <c r="B161" s="36"/>
      <c r="C161" s="36"/>
      <c r="D161" s="36"/>
      <c r="E161" s="39"/>
      <c r="F161" s="36"/>
      <c r="G161" s="36"/>
      <c r="H161" s="8" t="s">
        <v>253</v>
      </c>
      <c r="I161" s="5">
        <v>1120</v>
      </c>
      <c r="J161" s="5">
        <v>33.54</v>
      </c>
      <c r="K161" s="5">
        <f t="shared" si="5"/>
        <v>37564.799999999996</v>
      </c>
      <c r="L161" s="36"/>
      <c r="M161" s="36"/>
      <c r="N161" s="36"/>
      <c r="O161" s="36"/>
      <c r="P161" s="36"/>
    </row>
    <row r="162" spans="2:16" ht="30" x14ac:dyDescent="0.25">
      <c r="B162" s="3">
        <v>36</v>
      </c>
      <c r="C162" s="1"/>
      <c r="D162" s="1"/>
      <c r="E162" s="9">
        <v>45740</v>
      </c>
      <c r="F162" s="3">
        <v>712</v>
      </c>
      <c r="G162" s="3" t="s">
        <v>255</v>
      </c>
      <c r="H162" s="8" t="s">
        <v>256</v>
      </c>
      <c r="I162" s="5">
        <v>680</v>
      </c>
      <c r="J162" s="5">
        <v>122</v>
      </c>
      <c r="K162" s="5">
        <f t="shared" si="5"/>
        <v>82960</v>
      </c>
      <c r="L162" s="3" t="s">
        <v>18</v>
      </c>
      <c r="M162" s="3" t="s">
        <v>257</v>
      </c>
      <c r="N162" s="7" t="s">
        <v>258</v>
      </c>
      <c r="O162" s="3">
        <v>7506263757</v>
      </c>
      <c r="P162" s="3" t="s">
        <v>259</v>
      </c>
    </row>
    <row r="163" spans="2:16" x14ac:dyDescent="0.25">
      <c r="B163" s="34">
        <v>37</v>
      </c>
      <c r="C163" s="34"/>
      <c r="D163" s="34"/>
      <c r="E163" s="37">
        <v>45737</v>
      </c>
      <c r="F163" s="34" t="s">
        <v>260</v>
      </c>
      <c r="G163" s="34" t="s">
        <v>249</v>
      </c>
      <c r="H163" s="8" t="s">
        <v>261</v>
      </c>
      <c r="I163" s="5">
        <v>15.35</v>
      </c>
      <c r="J163" s="5">
        <v>156</v>
      </c>
      <c r="K163" s="5">
        <f t="shared" si="5"/>
        <v>2394.6</v>
      </c>
      <c r="L163" s="34" t="s">
        <v>82</v>
      </c>
      <c r="M163" s="34" t="s">
        <v>254</v>
      </c>
      <c r="N163" s="34" t="s">
        <v>20</v>
      </c>
      <c r="O163" s="34">
        <v>9322334253</v>
      </c>
      <c r="P163" s="34" t="s">
        <v>70</v>
      </c>
    </row>
    <row r="164" spans="2:16" x14ac:dyDescent="0.25">
      <c r="B164" s="35"/>
      <c r="C164" s="35"/>
      <c r="D164" s="35"/>
      <c r="E164" s="38"/>
      <c r="F164" s="35"/>
      <c r="G164" s="35"/>
      <c r="H164" s="8" t="s">
        <v>262</v>
      </c>
      <c r="I164" s="5">
        <v>18.03</v>
      </c>
      <c r="J164" s="5">
        <v>120</v>
      </c>
      <c r="K164" s="5">
        <f t="shared" si="5"/>
        <v>2163.6000000000004</v>
      </c>
      <c r="L164" s="35"/>
      <c r="M164" s="35"/>
      <c r="N164" s="35"/>
      <c r="O164" s="35"/>
      <c r="P164" s="35"/>
    </row>
    <row r="165" spans="2:16" x14ac:dyDescent="0.25">
      <c r="B165" s="35"/>
      <c r="C165" s="35"/>
      <c r="D165" s="35"/>
      <c r="E165" s="38"/>
      <c r="F165" s="35"/>
      <c r="G165" s="35"/>
      <c r="H165" s="8" t="s">
        <v>263</v>
      </c>
      <c r="I165" s="5">
        <v>20.41</v>
      </c>
      <c r="J165" s="5">
        <v>200</v>
      </c>
      <c r="K165" s="5">
        <f t="shared" si="5"/>
        <v>4082</v>
      </c>
      <c r="L165" s="35"/>
      <c r="M165" s="35"/>
      <c r="N165" s="35"/>
      <c r="O165" s="35"/>
      <c r="P165" s="35"/>
    </row>
    <row r="166" spans="2:16" x14ac:dyDescent="0.25">
      <c r="B166" s="35"/>
      <c r="C166" s="35"/>
      <c r="D166" s="35"/>
      <c r="E166" s="38"/>
      <c r="F166" s="35"/>
      <c r="G166" s="35"/>
      <c r="H166" s="8" t="s">
        <v>264</v>
      </c>
      <c r="I166" s="5">
        <v>24.05</v>
      </c>
      <c r="J166" s="5">
        <v>180</v>
      </c>
      <c r="K166" s="5">
        <f t="shared" si="5"/>
        <v>4329</v>
      </c>
      <c r="L166" s="35"/>
      <c r="M166" s="35"/>
      <c r="N166" s="35"/>
      <c r="O166" s="35"/>
      <c r="P166" s="35"/>
    </row>
    <row r="167" spans="2:16" x14ac:dyDescent="0.25">
      <c r="B167" s="36"/>
      <c r="C167" s="36"/>
      <c r="D167" s="36"/>
      <c r="E167" s="39"/>
      <c r="F167" s="36"/>
      <c r="G167" s="36"/>
      <c r="H167" s="8" t="s">
        <v>265</v>
      </c>
      <c r="I167" s="5">
        <v>37.39</v>
      </c>
      <c r="J167" s="5">
        <v>49</v>
      </c>
      <c r="K167" s="5">
        <f t="shared" si="5"/>
        <v>1832.1100000000001</v>
      </c>
      <c r="L167" s="36"/>
      <c r="M167" s="36"/>
      <c r="N167" s="36"/>
      <c r="O167" s="36"/>
      <c r="P167" s="36"/>
    </row>
    <row r="168" spans="2:16" x14ac:dyDescent="0.25">
      <c r="B168" s="34">
        <v>38</v>
      </c>
      <c r="C168" s="34"/>
      <c r="D168" s="34"/>
      <c r="E168" s="37">
        <v>45738</v>
      </c>
      <c r="F168" s="34" t="s">
        <v>266</v>
      </c>
      <c r="G168" s="34" t="s">
        <v>267</v>
      </c>
      <c r="H168" s="8" t="s">
        <v>268</v>
      </c>
      <c r="I168" s="5">
        <v>700</v>
      </c>
      <c r="J168" s="5">
        <v>122</v>
      </c>
      <c r="K168" s="5">
        <f t="shared" si="5"/>
        <v>85400</v>
      </c>
      <c r="L168" s="34" t="s">
        <v>203</v>
      </c>
      <c r="M168" s="34" t="s">
        <v>270</v>
      </c>
      <c r="N168" s="34" t="s">
        <v>271</v>
      </c>
      <c r="O168" s="34">
        <v>9324151309</v>
      </c>
      <c r="P168" s="34" t="s">
        <v>70</v>
      </c>
    </row>
    <row r="169" spans="2:16" x14ac:dyDescent="0.25">
      <c r="B169" s="36"/>
      <c r="C169" s="36"/>
      <c r="D169" s="36"/>
      <c r="E169" s="39"/>
      <c r="F169" s="36"/>
      <c r="G169" s="36"/>
      <c r="H169" s="8" t="s">
        <v>269</v>
      </c>
      <c r="I169" s="5">
        <v>600</v>
      </c>
      <c r="J169" s="5">
        <v>65</v>
      </c>
      <c r="K169" s="5">
        <f t="shared" si="5"/>
        <v>39000</v>
      </c>
      <c r="L169" s="36"/>
      <c r="M169" s="36"/>
      <c r="N169" s="36"/>
      <c r="O169" s="36"/>
      <c r="P169" s="36"/>
    </row>
    <row r="170" spans="2:16" x14ac:dyDescent="0.25">
      <c r="B170" s="34">
        <v>39</v>
      </c>
      <c r="C170" s="34"/>
      <c r="D170" s="34"/>
      <c r="E170" s="37">
        <v>45731</v>
      </c>
      <c r="F170" s="34" t="s">
        <v>272</v>
      </c>
      <c r="G170" s="34" t="s">
        <v>267</v>
      </c>
      <c r="H170" s="8" t="s">
        <v>273</v>
      </c>
      <c r="I170" s="5">
        <v>500</v>
      </c>
      <c r="J170" s="5">
        <v>18</v>
      </c>
      <c r="K170" s="5">
        <f t="shared" si="5"/>
        <v>9000</v>
      </c>
      <c r="L170" s="3" t="s">
        <v>203</v>
      </c>
      <c r="M170" s="34" t="s">
        <v>270</v>
      </c>
      <c r="N170" s="34" t="s">
        <v>271</v>
      </c>
      <c r="O170" s="34">
        <v>9324151309</v>
      </c>
      <c r="P170" s="34" t="s">
        <v>70</v>
      </c>
    </row>
    <row r="171" spans="2:16" x14ac:dyDescent="0.25">
      <c r="B171" s="35"/>
      <c r="C171" s="35"/>
      <c r="D171" s="35"/>
      <c r="E171" s="38"/>
      <c r="F171" s="35"/>
      <c r="G171" s="35"/>
      <c r="H171" s="8" t="s">
        <v>274</v>
      </c>
      <c r="I171" s="5">
        <v>594</v>
      </c>
      <c r="J171" s="5">
        <v>75</v>
      </c>
      <c r="K171" s="5">
        <f t="shared" si="5"/>
        <v>44550</v>
      </c>
      <c r="L171" s="3" t="s">
        <v>203</v>
      </c>
      <c r="M171" s="35"/>
      <c r="N171" s="35"/>
      <c r="O171" s="35"/>
      <c r="P171" s="35"/>
    </row>
    <row r="172" spans="2:16" x14ac:dyDescent="0.25">
      <c r="B172" s="35"/>
      <c r="C172" s="35"/>
      <c r="D172" s="35"/>
      <c r="E172" s="38"/>
      <c r="F172" s="35"/>
      <c r="G172" s="35"/>
      <c r="H172" s="8" t="s">
        <v>268</v>
      </c>
      <c r="I172" s="5">
        <v>700</v>
      </c>
      <c r="J172" s="5">
        <v>61</v>
      </c>
      <c r="K172" s="5">
        <f t="shared" si="5"/>
        <v>42700</v>
      </c>
      <c r="L172" s="3" t="s">
        <v>203</v>
      </c>
      <c r="M172" s="35"/>
      <c r="N172" s="35"/>
      <c r="O172" s="35"/>
      <c r="P172" s="35"/>
    </row>
    <row r="173" spans="2:16" x14ac:dyDescent="0.25">
      <c r="B173" s="36"/>
      <c r="C173" s="36"/>
      <c r="D173" s="36"/>
      <c r="E173" s="39"/>
      <c r="F173" s="36"/>
      <c r="G173" s="36"/>
      <c r="H173" s="8" t="s">
        <v>275</v>
      </c>
      <c r="I173" s="5">
        <v>483</v>
      </c>
      <c r="J173" s="5">
        <v>24</v>
      </c>
      <c r="K173" s="5">
        <f t="shared" si="5"/>
        <v>11592</v>
      </c>
      <c r="L173" s="3" t="s">
        <v>26</v>
      </c>
      <c r="M173" s="36"/>
      <c r="N173" s="36"/>
      <c r="O173" s="36"/>
      <c r="P173" s="36"/>
    </row>
    <row r="174" spans="2:16" x14ac:dyDescent="0.25">
      <c r="B174" s="64">
        <v>40</v>
      </c>
      <c r="C174" s="64"/>
      <c r="D174" s="64"/>
      <c r="E174" s="65">
        <v>45727</v>
      </c>
      <c r="F174" s="64">
        <v>3617</v>
      </c>
      <c r="G174" s="64" t="s">
        <v>276</v>
      </c>
      <c r="H174" s="8" t="s">
        <v>277</v>
      </c>
      <c r="I174" s="5">
        <v>1300</v>
      </c>
      <c r="J174" s="5">
        <v>5</v>
      </c>
      <c r="K174" s="5">
        <f t="shared" si="5"/>
        <v>6500</v>
      </c>
      <c r="L174" s="34" t="s">
        <v>26</v>
      </c>
      <c r="M174" s="64" t="s">
        <v>285</v>
      </c>
      <c r="N174" s="64" t="s">
        <v>286</v>
      </c>
      <c r="O174" s="64">
        <v>9099495947</v>
      </c>
      <c r="P174" s="34" t="s">
        <v>287</v>
      </c>
    </row>
    <row r="175" spans="2:16" x14ac:dyDescent="0.25">
      <c r="B175" s="64"/>
      <c r="C175" s="64"/>
      <c r="D175" s="64"/>
      <c r="E175" s="65"/>
      <c r="F175" s="64"/>
      <c r="G175" s="64"/>
      <c r="H175" s="8" t="s">
        <v>278</v>
      </c>
      <c r="I175" s="5">
        <v>466</v>
      </c>
      <c r="J175" s="5">
        <v>16</v>
      </c>
      <c r="K175" s="5">
        <f t="shared" si="5"/>
        <v>7456</v>
      </c>
      <c r="L175" s="35"/>
      <c r="M175" s="64"/>
      <c r="N175" s="64"/>
      <c r="O175" s="64"/>
      <c r="P175" s="35"/>
    </row>
    <row r="176" spans="2:16" x14ac:dyDescent="0.25">
      <c r="B176" s="64"/>
      <c r="C176" s="64"/>
      <c r="D176" s="64"/>
      <c r="E176" s="65"/>
      <c r="F176" s="64"/>
      <c r="G176" s="64"/>
      <c r="H176" s="8" t="s">
        <v>279</v>
      </c>
      <c r="I176" s="5">
        <v>33</v>
      </c>
      <c r="J176" s="5">
        <v>60</v>
      </c>
      <c r="K176" s="5">
        <f t="shared" si="5"/>
        <v>1980</v>
      </c>
      <c r="L176" s="35"/>
      <c r="M176" s="64"/>
      <c r="N176" s="64"/>
      <c r="O176" s="64"/>
      <c r="P176" s="35"/>
    </row>
    <row r="177" spans="2:16" x14ac:dyDescent="0.25">
      <c r="B177" s="64"/>
      <c r="C177" s="64"/>
      <c r="D177" s="64"/>
      <c r="E177" s="65"/>
      <c r="F177" s="64"/>
      <c r="G177" s="64"/>
      <c r="H177" s="8" t="s">
        <v>280</v>
      </c>
      <c r="I177" s="5">
        <v>700</v>
      </c>
      <c r="J177" s="5">
        <v>2</v>
      </c>
      <c r="K177" s="5">
        <f t="shared" si="5"/>
        <v>1400</v>
      </c>
      <c r="L177" s="35"/>
      <c r="M177" s="64"/>
      <c r="N177" s="64"/>
      <c r="O177" s="64"/>
      <c r="P177" s="35"/>
    </row>
    <row r="178" spans="2:16" x14ac:dyDescent="0.25">
      <c r="B178" s="64"/>
      <c r="C178" s="64"/>
      <c r="D178" s="64"/>
      <c r="E178" s="65"/>
      <c r="F178" s="64"/>
      <c r="G178" s="64"/>
      <c r="H178" s="8" t="s">
        <v>281</v>
      </c>
      <c r="I178" s="5">
        <v>1250</v>
      </c>
      <c r="J178" s="5">
        <v>2</v>
      </c>
      <c r="K178" s="5">
        <f t="shared" si="5"/>
        <v>2500</v>
      </c>
      <c r="L178" s="35"/>
      <c r="M178" s="64"/>
      <c r="N178" s="64"/>
      <c r="O178" s="64"/>
      <c r="P178" s="35"/>
    </row>
    <row r="179" spans="2:16" x14ac:dyDescent="0.25">
      <c r="B179" s="64"/>
      <c r="C179" s="64"/>
      <c r="D179" s="64"/>
      <c r="E179" s="65"/>
      <c r="F179" s="64"/>
      <c r="G179" s="64"/>
      <c r="H179" s="8" t="s">
        <v>282</v>
      </c>
      <c r="I179" s="5">
        <v>2924</v>
      </c>
      <c r="J179" s="5">
        <v>2</v>
      </c>
      <c r="K179" s="5">
        <f t="shared" si="5"/>
        <v>5848</v>
      </c>
      <c r="L179" s="35"/>
      <c r="M179" s="64"/>
      <c r="N179" s="64"/>
      <c r="O179" s="64"/>
      <c r="P179" s="35"/>
    </row>
    <row r="180" spans="2:16" x14ac:dyDescent="0.25">
      <c r="B180" s="64"/>
      <c r="C180" s="64"/>
      <c r="D180" s="64"/>
      <c r="E180" s="65"/>
      <c r="F180" s="64"/>
      <c r="G180" s="64"/>
      <c r="H180" s="8" t="s">
        <v>283</v>
      </c>
      <c r="I180" s="5">
        <v>3136</v>
      </c>
      <c r="J180" s="5">
        <v>1</v>
      </c>
      <c r="K180" s="5">
        <f t="shared" si="5"/>
        <v>3136</v>
      </c>
      <c r="L180" s="35"/>
      <c r="M180" s="64"/>
      <c r="N180" s="64"/>
      <c r="O180" s="64"/>
      <c r="P180" s="35"/>
    </row>
    <row r="181" spans="2:16" x14ac:dyDescent="0.25">
      <c r="B181" s="64"/>
      <c r="C181" s="64"/>
      <c r="D181" s="64"/>
      <c r="E181" s="65"/>
      <c r="F181" s="64"/>
      <c r="G181" s="64"/>
      <c r="H181" s="8" t="s">
        <v>284</v>
      </c>
      <c r="I181" s="5">
        <v>7150</v>
      </c>
      <c r="J181" s="5">
        <v>1</v>
      </c>
      <c r="K181" s="5">
        <f t="shared" si="5"/>
        <v>7150</v>
      </c>
      <c r="L181" s="36"/>
      <c r="M181" s="64"/>
      <c r="N181" s="64"/>
      <c r="O181" s="64"/>
      <c r="P181" s="36"/>
    </row>
    <row r="182" spans="2:16" x14ac:dyDescent="0.25">
      <c r="B182" s="34">
        <v>41</v>
      </c>
      <c r="C182" s="34"/>
      <c r="D182" s="34"/>
      <c r="E182" s="37">
        <v>45724</v>
      </c>
      <c r="F182" s="34" t="s">
        <v>288</v>
      </c>
      <c r="G182" s="34" t="s">
        <v>289</v>
      </c>
      <c r="H182" s="8" t="s">
        <v>290</v>
      </c>
      <c r="I182" s="5">
        <v>21</v>
      </c>
      <c r="J182" s="5">
        <v>500</v>
      </c>
      <c r="K182" s="5">
        <f t="shared" si="5"/>
        <v>10500</v>
      </c>
      <c r="L182" s="34" t="s">
        <v>26</v>
      </c>
      <c r="M182" s="34" t="s">
        <v>292</v>
      </c>
      <c r="N182" s="34" t="s">
        <v>293</v>
      </c>
      <c r="O182" s="34">
        <v>9323898824</v>
      </c>
      <c r="P182" s="34" t="s">
        <v>294</v>
      </c>
    </row>
    <row r="183" spans="2:16" x14ac:dyDescent="0.25">
      <c r="B183" s="36"/>
      <c r="C183" s="36"/>
      <c r="D183" s="36"/>
      <c r="E183" s="39"/>
      <c r="F183" s="36"/>
      <c r="G183" s="36"/>
      <c r="H183" s="8" t="s">
        <v>291</v>
      </c>
      <c r="I183" s="5">
        <v>4407</v>
      </c>
      <c r="J183" s="5">
        <v>1</v>
      </c>
      <c r="K183" s="5">
        <f t="shared" si="5"/>
        <v>4407</v>
      </c>
      <c r="L183" s="36"/>
      <c r="M183" s="36"/>
      <c r="N183" s="36"/>
      <c r="O183" s="36"/>
      <c r="P183" s="36"/>
    </row>
    <row r="184" spans="2:16" x14ac:dyDescent="0.25">
      <c r="B184" s="34">
        <v>42</v>
      </c>
      <c r="C184" s="34"/>
      <c r="D184" s="34"/>
      <c r="E184" s="37">
        <v>45724</v>
      </c>
      <c r="F184" s="34" t="s">
        <v>295</v>
      </c>
      <c r="G184" s="34" t="s">
        <v>296</v>
      </c>
      <c r="H184" s="8" t="s">
        <v>297</v>
      </c>
      <c r="I184" s="5">
        <v>220</v>
      </c>
      <c r="J184" s="5">
        <v>1</v>
      </c>
      <c r="K184" s="5">
        <f t="shared" si="5"/>
        <v>220</v>
      </c>
      <c r="L184" s="3" t="s">
        <v>82</v>
      </c>
      <c r="M184" s="34" t="s">
        <v>301</v>
      </c>
      <c r="N184" s="44" t="s">
        <v>302</v>
      </c>
      <c r="O184" s="34" t="s">
        <v>70</v>
      </c>
      <c r="P184" s="34" t="s">
        <v>303</v>
      </c>
    </row>
    <row r="185" spans="2:16" x14ac:dyDescent="0.25">
      <c r="B185" s="35"/>
      <c r="C185" s="35"/>
      <c r="D185" s="35"/>
      <c r="E185" s="38"/>
      <c r="F185" s="35"/>
      <c r="G185" s="35"/>
      <c r="H185" s="8" t="s">
        <v>298</v>
      </c>
      <c r="I185" s="5">
        <v>340</v>
      </c>
      <c r="J185" s="5">
        <v>1</v>
      </c>
      <c r="K185" s="5">
        <f t="shared" si="5"/>
        <v>340</v>
      </c>
      <c r="L185" s="3" t="s">
        <v>82</v>
      </c>
      <c r="M185" s="35"/>
      <c r="N185" s="50"/>
      <c r="O185" s="35"/>
      <c r="P185" s="35"/>
    </row>
    <row r="186" spans="2:16" x14ac:dyDescent="0.25">
      <c r="B186" s="35"/>
      <c r="C186" s="35"/>
      <c r="D186" s="35"/>
      <c r="E186" s="38"/>
      <c r="F186" s="35"/>
      <c r="G186" s="35"/>
      <c r="H186" s="8" t="s">
        <v>299</v>
      </c>
      <c r="I186" s="5">
        <v>295</v>
      </c>
      <c r="J186" s="5">
        <v>1</v>
      </c>
      <c r="K186" s="5">
        <f t="shared" si="5"/>
        <v>295</v>
      </c>
      <c r="L186" s="3" t="s">
        <v>26</v>
      </c>
      <c r="M186" s="35"/>
      <c r="N186" s="50"/>
      <c r="O186" s="35"/>
      <c r="P186" s="35"/>
    </row>
    <row r="187" spans="2:16" x14ac:dyDescent="0.25">
      <c r="B187" s="36"/>
      <c r="C187" s="36"/>
      <c r="D187" s="36"/>
      <c r="E187" s="39"/>
      <c r="F187" s="36"/>
      <c r="G187" s="36"/>
      <c r="H187" s="8" t="s">
        <v>300</v>
      </c>
      <c r="I187" s="5">
        <v>65</v>
      </c>
      <c r="J187" s="5">
        <v>6</v>
      </c>
      <c r="K187" s="5">
        <f t="shared" si="5"/>
        <v>390</v>
      </c>
      <c r="L187" s="3" t="s">
        <v>82</v>
      </c>
      <c r="M187" s="36"/>
      <c r="N187" s="45"/>
      <c r="O187" s="36"/>
      <c r="P187" s="36"/>
    </row>
    <row r="188" spans="2:16" x14ac:dyDescent="0.25">
      <c r="B188" s="3">
        <v>43</v>
      </c>
      <c r="C188" s="1"/>
      <c r="D188" s="1"/>
      <c r="E188" s="9">
        <v>45723</v>
      </c>
      <c r="F188" s="3" t="s">
        <v>304</v>
      </c>
      <c r="G188" s="3" t="s">
        <v>226</v>
      </c>
      <c r="H188" s="8" t="s">
        <v>227</v>
      </c>
      <c r="I188" s="5">
        <v>42.37</v>
      </c>
      <c r="J188" s="5">
        <v>10</v>
      </c>
      <c r="K188" s="5">
        <f t="shared" si="5"/>
        <v>423.7</v>
      </c>
      <c r="L188" s="3" t="s">
        <v>26</v>
      </c>
      <c r="M188" s="3" t="s">
        <v>230</v>
      </c>
      <c r="N188" s="3" t="s">
        <v>231</v>
      </c>
      <c r="O188" s="3">
        <v>9920603483</v>
      </c>
      <c r="P188" s="3" t="s">
        <v>232</v>
      </c>
    </row>
    <row r="189" spans="2:16" x14ac:dyDescent="0.25">
      <c r="B189" s="34">
        <v>44</v>
      </c>
      <c r="C189" s="34"/>
      <c r="D189" s="34"/>
      <c r="E189" s="37">
        <v>45721</v>
      </c>
      <c r="F189" s="34">
        <v>4065</v>
      </c>
      <c r="G189" s="34" t="s">
        <v>305</v>
      </c>
      <c r="H189" s="8" t="s">
        <v>306</v>
      </c>
      <c r="I189" s="5">
        <v>485</v>
      </c>
      <c r="J189" s="5">
        <v>90</v>
      </c>
      <c r="K189" s="5">
        <f t="shared" si="5"/>
        <v>43650</v>
      </c>
      <c r="L189" s="3" t="s">
        <v>203</v>
      </c>
      <c r="M189" s="34" t="s">
        <v>308</v>
      </c>
      <c r="N189" s="44" t="s">
        <v>309</v>
      </c>
      <c r="O189" s="34" t="s">
        <v>70</v>
      </c>
      <c r="P189" s="34" t="s">
        <v>310</v>
      </c>
    </row>
    <row r="190" spans="2:16" x14ac:dyDescent="0.25">
      <c r="B190" s="36"/>
      <c r="C190" s="36"/>
      <c r="D190" s="36"/>
      <c r="E190" s="39"/>
      <c r="F190" s="36"/>
      <c r="G190" s="36"/>
      <c r="H190" s="8" t="s">
        <v>307</v>
      </c>
      <c r="I190" s="5">
        <v>3300</v>
      </c>
      <c r="J190" s="5">
        <v>4</v>
      </c>
      <c r="K190" s="5">
        <f t="shared" si="5"/>
        <v>13200</v>
      </c>
      <c r="L190" s="3" t="s">
        <v>26</v>
      </c>
      <c r="M190" s="36"/>
      <c r="N190" s="45"/>
      <c r="O190" s="36"/>
      <c r="P190" s="36"/>
    </row>
    <row r="191" spans="2:16" x14ac:dyDescent="0.25">
      <c r="B191" s="34">
        <v>45</v>
      </c>
      <c r="C191" s="34"/>
      <c r="D191" s="34"/>
      <c r="E191" s="37">
        <v>45708</v>
      </c>
      <c r="F191" s="34">
        <v>3912</v>
      </c>
      <c r="G191" s="34" t="s">
        <v>305</v>
      </c>
      <c r="H191" s="8" t="s">
        <v>311</v>
      </c>
      <c r="I191" s="5">
        <v>4540</v>
      </c>
      <c r="J191" s="5">
        <v>1</v>
      </c>
      <c r="K191" s="5">
        <f t="shared" si="5"/>
        <v>4540</v>
      </c>
      <c r="L191" s="34" t="s">
        <v>26</v>
      </c>
      <c r="M191" s="34" t="s">
        <v>308</v>
      </c>
      <c r="N191" s="44" t="s">
        <v>309</v>
      </c>
      <c r="O191" s="34" t="s">
        <v>70</v>
      </c>
      <c r="P191" s="34" t="s">
        <v>310</v>
      </c>
    </row>
    <row r="192" spans="2:16" x14ac:dyDescent="0.25">
      <c r="B192" s="35"/>
      <c r="C192" s="35"/>
      <c r="D192" s="35"/>
      <c r="E192" s="38"/>
      <c r="F192" s="35"/>
      <c r="G192" s="35"/>
      <c r="H192" s="8" t="s">
        <v>312</v>
      </c>
      <c r="I192" s="5">
        <v>1300</v>
      </c>
      <c r="J192" s="5">
        <v>1</v>
      </c>
      <c r="K192" s="5">
        <f t="shared" si="5"/>
        <v>1300</v>
      </c>
      <c r="L192" s="35"/>
      <c r="M192" s="35"/>
      <c r="N192" s="50"/>
      <c r="O192" s="35"/>
      <c r="P192" s="35"/>
    </row>
    <row r="193" spans="2:16" x14ac:dyDescent="0.25">
      <c r="B193" s="36"/>
      <c r="C193" s="36"/>
      <c r="D193" s="36"/>
      <c r="E193" s="39"/>
      <c r="F193" s="36"/>
      <c r="G193" s="36"/>
      <c r="H193" s="8" t="s">
        <v>313</v>
      </c>
      <c r="I193" s="5">
        <v>2209</v>
      </c>
      <c r="J193" s="5">
        <v>1</v>
      </c>
      <c r="K193" s="5">
        <f t="shared" si="5"/>
        <v>2209</v>
      </c>
      <c r="L193" s="36"/>
      <c r="M193" s="36"/>
      <c r="N193" s="45"/>
      <c r="O193" s="36"/>
      <c r="P193" s="36"/>
    </row>
    <row r="194" spans="2:16" x14ac:dyDescent="0.25">
      <c r="B194" s="64">
        <v>46</v>
      </c>
      <c r="C194" s="64"/>
      <c r="D194" s="64"/>
      <c r="E194" s="65">
        <v>45707</v>
      </c>
      <c r="F194" s="64">
        <v>3881</v>
      </c>
      <c r="G194" s="64" t="s">
        <v>305</v>
      </c>
      <c r="H194" s="8" t="s">
        <v>314</v>
      </c>
      <c r="I194" s="5">
        <v>3350</v>
      </c>
      <c r="J194" s="5">
        <v>5</v>
      </c>
      <c r="K194" s="5">
        <f t="shared" si="5"/>
        <v>16750</v>
      </c>
      <c r="L194" s="3" t="s">
        <v>26</v>
      </c>
      <c r="M194" s="64" t="s">
        <v>308</v>
      </c>
      <c r="N194" s="44" t="s">
        <v>309</v>
      </c>
      <c r="O194" s="64" t="s">
        <v>70</v>
      </c>
      <c r="P194" s="34" t="s">
        <v>310</v>
      </c>
    </row>
    <row r="195" spans="2:16" x14ac:dyDescent="0.25">
      <c r="B195" s="64"/>
      <c r="C195" s="64"/>
      <c r="D195" s="64"/>
      <c r="E195" s="65"/>
      <c r="F195" s="64"/>
      <c r="G195" s="64"/>
      <c r="H195" s="8" t="s">
        <v>315</v>
      </c>
      <c r="I195" s="5">
        <v>102</v>
      </c>
      <c r="J195" s="5">
        <v>5</v>
      </c>
      <c r="K195" s="5">
        <f t="shared" si="5"/>
        <v>510</v>
      </c>
      <c r="L195" s="3" t="s">
        <v>26</v>
      </c>
      <c r="M195" s="64"/>
      <c r="N195" s="50"/>
      <c r="O195" s="64"/>
      <c r="P195" s="35"/>
    </row>
    <row r="196" spans="2:16" x14ac:dyDescent="0.25">
      <c r="B196" s="64"/>
      <c r="C196" s="64"/>
      <c r="D196" s="64"/>
      <c r="E196" s="65"/>
      <c r="F196" s="64"/>
      <c r="G196" s="64"/>
      <c r="H196" s="8" t="s">
        <v>316</v>
      </c>
      <c r="I196" s="5">
        <v>3400</v>
      </c>
      <c r="J196" s="5">
        <v>1</v>
      </c>
      <c r="K196" s="5">
        <f t="shared" si="5"/>
        <v>3400</v>
      </c>
      <c r="L196" s="3" t="s">
        <v>26</v>
      </c>
      <c r="M196" s="64"/>
      <c r="N196" s="50"/>
      <c r="O196" s="64"/>
      <c r="P196" s="35"/>
    </row>
    <row r="197" spans="2:16" x14ac:dyDescent="0.25">
      <c r="B197" s="64"/>
      <c r="C197" s="64"/>
      <c r="D197" s="64"/>
      <c r="E197" s="65"/>
      <c r="F197" s="64"/>
      <c r="G197" s="64"/>
      <c r="H197" s="8" t="s">
        <v>317</v>
      </c>
      <c r="I197" s="5">
        <v>6100</v>
      </c>
      <c r="J197" s="5">
        <v>1</v>
      </c>
      <c r="K197" s="5">
        <f t="shared" si="5"/>
        <v>6100</v>
      </c>
      <c r="L197" s="3" t="s">
        <v>26</v>
      </c>
      <c r="M197" s="64"/>
      <c r="N197" s="50"/>
      <c r="O197" s="64"/>
      <c r="P197" s="35"/>
    </row>
    <row r="198" spans="2:16" x14ac:dyDescent="0.25">
      <c r="B198" s="64"/>
      <c r="C198" s="64"/>
      <c r="D198" s="64"/>
      <c r="E198" s="65"/>
      <c r="F198" s="64"/>
      <c r="G198" s="64"/>
      <c r="H198" s="8" t="s">
        <v>318</v>
      </c>
      <c r="I198" s="5">
        <v>360</v>
      </c>
      <c r="J198" s="5">
        <v>3</v>
      </c>
      <c r="K198" s="5">
        <f t="shared" si="5"/>
        <v>1080</v>
      </c>
      <c r="L198" s="3" t="s">
        <v>26</v>
      </c>
      <c r="M198" s="64"/>
      <c r="N198" s="50"/>
      <c r="O198" s="64"/>
      <c r="P198" s="35"/>
    </row>
    <row r="199" spans="2:16" x14ac:dyDescent="0.25">
      <c r="B199" s="64"/>
      <c r="C199" s="64"/>
      <c r="D199" s="64"/>
      <c r="E199" s="65"/>
      <c r="F199" s="64"/>
      <c r="G199" s="64"/>
      <c r="H199" s="8" t="s">
        <v>319</v>
      </c>
      <c r="I199" s="5">
        <v>230</v>
      </c>
      <c r="J199" s="5">
        <v>6</v>
      </c>
      <c r="K199" s="5">
        <f t="shared" si="5"/>
        <v>1380</v>
      </c>
      <c r="L199" s="3" t="s">
        <v>26</v>
      </c>
      <c r="M199" s="64"/>
      <c r="N199" s="50"/>
      <c r="O199" s="64"/>
      <c r="P199" s="35"/>
    </row>
    <row r="200" spans="2:16" x14ac:dyDescent="0.25">
      <c r="B200" s="64"/>
      <c r="C200" s="64"/>
      <c r="D200" s="64"/>
      <c r="E200" s="65"/>
      <c r="F200" s="64"/>
      <c r="G200" s="64"/>
      <c r="H200" s="8" t="s">
        <v>320</v>
      </c>
      <c r="I200" s="5">
        <v>550</v>
      </c>
      <c r="J200" s="5">
        <v>3</v>
      </c>
      <c r="K200" s="5">
        <f t="shared" si="5"/>
        <v>1650</v>
      </c>
      <c r="L200" s="3" t="s">
        <v>26</v>
      </c>
      <c r="M200" s="64"/>
      <c r="N200" s="45"/>
      <c r="O200" s="64"/>
      <c r="P200" s="36"/>
    </row>
    <row r="201" spans="2:16" x14ac:dyDescent="0.25">
      <c r="B201" s="34">
        <v>47</v>
      </c>
      <c r="C201" s="34"/>
      <c r="D201" s="34"/>
      <c r="E201" s="37">
        <v>45701</v>
      </c>
      <c r="F201" s="34">
        <v>3468</v>
      </c>
      <c r="G201" s="34" t="s">
        <v>276</v>
      </c>
      <c r="H201" s="8" t="s">
        <v>321</v>
      </c>
      <c r="I201" s="5">
        <v>8050</v>
      </c>
      <c r="J201" s="5">
        <v>1</v>
      </c>
      <c r="K201" s="5">
        <f t="shared" si="5"/>
        <v>8050</v>
      </c>
      <c r="L201" s="3" t="s">
        <v>26</v>
      </c>
      <c r="M201" s="34" t="s">
        <v>342</v>
      </c>
      <c r="N201" s="34" t="s">
        <v>286</v>
      </c>
      <c r="O201" s="34">
        <v>9099495947</v>
      </c>
      <c r="P201" s="34" t="s">
        <v>287</v>
      </c>
    </row>
    <row r="202" spans="2:16" x14ac:dyDescent="0.25">
      <c r="B202" s="35"/>
      <c r="C202" s="35"/>
      <c r="D202" s="35"/>
      <c r="E202" s="38"/>
      <c r="F202" s="35"/>
      <c r="G202" s="35"/>
      <c r="H202" s="8" t="s">
        <v>322</v>
      </c>
      <c r="I202" s="5">
        <v>10170</v>
      </c>
      <c r="J202" s="5">
        <v>1</v>
      </c>
      <c r="K202" s="5">
        <f t="shared" si="5"/>
        <v>10170</v>
      </c>
      <c r="L202" s="3" t="s">
        <v>26</v>
      </c>
      <c r="M202" s="35"/>
      <c r="N202" s="35"/>
      <c r="O202" s="35"/>
      <c r="P202" s="35"/>
    </row>
    <row r="203" spans="2:16" x14ac:dyDescent="0.25">
      <c r="B203" s="35"/>
      <c r="C203" s="35"/>
      <c r="D203" s="35"/>
      <c r="E203" s="38"/>
      <c r="F203" s="35"/>
      <c r="G203" s="35"/>
      <c r="H203" s="8" t="s">
        <v>323</v>
      </c>
      <c r="I203" s="5">
        <v>2118</v>
      </c>
      <c r="J203" s="5">
        <v>3</v>
      </c>
      <c r="K203" s="5">
        <f t="shared" si="5"/>
        <v>6354</v>
      </c>
      <c r="L203" s="3" t="s">
        <v>26</v>
      </c>
      <c r="M203" s="35"/>
      <c r="N203" s="35"/>
      <c r="O203" s="35"/>
      <c r="P203" s="35"/>
    </row>
    <row r="204" spans="2:16" x14ac:dyDescent="0.25">
      <c r="B204" s="35"/>
      <c r="C204" s="35"/>
      <c r="D204" s="35"/>
      <c r="E204" s="38"/>
      <c r="F204" s="35"/>
      <c r="G204" s="35"/>
      <c r="H204" s="8" t="s">
        <v>324</v>
      </c>
      <c r="I204" s="5">
        <v>100</v>
      </c>
      <c r="J204" s="5">
        <v>10</v>
      </c>
      <c r="K204" s="5">
        <f t="shared" si="5"/>
        <v>1000</v>
      </c>
      <c r="L204" s="3" t="s">
        <v>26</v>
      </c>
      <c r="M204" s="35"/>
      <c r="N204" s="35"/>
      <c r="O204" s="35"/>
      <c r="P204" s="35"/>
    </row>
    <row r="205" spans="2:16" x14ac:dyDescent="0.25">
      <c r="B205" s="35"/>
      <c r="C205" s="35"/>
      <c r="D205" s="35"/>
      <c r="E205" s="38"/>
      <c r="F205" s="35"/>
      <c r="G205" s="35"/>
      <c r="H205" s="8" t="s">
        <v>325</v>
      </c>
      <c r="I205" s="5">
        <v>3050</v>
      </c>
      <c r="J205" s="5">
        <v>4</v>
      </c>
      <c r="K205" s="5">
        <f t="shared" si="5"/>
        <v>12200</v>
      </c>
      <c r="L205" s="3" t="s">
        <v>26</v>
      </c>
      <c r="M205" s="35"/>
      <c r="N205" s="35"/>
      <c r="O205" s="35"/>
      <c r="P205" s="35"/>
    </row>
    <row r="206" spans="2:16" x14ac:dyDescent="0.25">
      <c r="B206" s="35"/>
      <c r="C206" s="35"/>
      <c r="D206" s="35"/>
      <c r="E206" s="38"/>
      <c r="F206" s="35"/>
      <c r="G206" s="35"/>
      <c r="H206" s="8" t="s">
        <v>326</v>
      </c>
      <c r="I206" s="5">
        <v>40</v>
      </c>
      <c r="J206" s="5">
        <v>20</v>
      </c>
      <c r="K206" s="5">
        <f t="shared" si="5"/>
        <v>800</v>
      </c>
      <c r="L206" s="3" t="s">
        <v>26</v>
      </c>
      <c r="M206" s="35"/>
      <c r="N206" s="35"/>
      <c r="O206" s="35"/>
      <c r="P206" s="35"/>
    </row>
    <row r="207" spans="2:16" x14ac:dyDescent="0.25">
      <c r="B207" s="35"/>
      <c r="C207" s="35"/>
      <c r="D207" s="35"/>
      <c r="E207" s="38"/>
      <c r="F207" s="35"/>
      <c r="G207" s="35"/>
      <c r="H207" s="8" t="s">
        <v>327</v>
      </c>
      <c r="I207" s="5">
        <v>200</v>
      </c>
      <c r="J207" s="5">
        <v>6</v>
      </c>
      <c r="K207" s="5">
        <f t="shared" si="5"/>
        <v>1200</v>
      </c>
      <c r="L207" s="3" t="s">
        <v>26</v>
      </c>
      <c r="M207" s="35"/>
      <c r="N207" s="35"/>
      <c r="O207" s="35"/>
      <c r="P207" s="35"/>
    </row>
    <row r="208" spans="2:16" x14ac:dyDescent="0.25">
      <c r="B208" s="35"/>
      <c r="C208" s="35"/>
      <c r="D208" s="35"/>
      <c r="E208" s="38"/>
      <c r="F208" s="35"/>
      <c r="G208" s="35"/>
      <c r="H208" s="8" t="s">
        <v>328</v>
      </c>
      <c r="I208" s="5">
        <v>30</v>
      </c>
      <c r="J208" s="5">
        <v>50</v>
      </c>
      <c r="K208" s="5">
        <f t="shared" si="5"/>
        <v>1500</v>
      </c>
      <c r="L208" s="3" t="s">
        <v>26</v>
      </c>
      <c r="M208" s="35"/>
      <c r="N208" s="35"/>
      <c r="O208" s="35"/>
      <c r="P208" s="35"/>
    </row>
    <row r="209" spans="2:16" x14ac:dyDescent="0.25">
      <c r="B209" s="35"/>
      <c r="C209" s="35"/>
      <c r="D209" s="35"/>
      <c r="E209" s="38"/>
      <c r="F209" s="35"/>
      <c r="G209" s="35"/>
      <c r="H209" s="8" t="s">
        <v>329</v>
      </c>
      <c r="I209" s="5">
        <v>150</v>
      </c>
      <c r="J209" s="5">
        <v>10</v>
      </c>
      <c r="K209" s="5">
        <f t="shared" si="5"/>
        <v>1500</v>
      </c>
      <c r="L209" s="3" t="s">
        <v>26</v>
      </c>
      <c r="M209" s="35"/>
      <c r="N209" s="35"/>
      <c r="O209" s="35"/>
      <c r="P209" s="35"/>
    </row>
    <row r="210" spans="2:16" x14ac:dyDescent="0.25">
      <c r="B210" s="35"/>
      <c r="C210" s="35"/>
      <c r="D210" s="35"/>
      <c r="E210" s="38"/>
      <c r="F210" s="35"/>
      <c r="G210" s="35"/>
      <c r="H210" s="8" t="s">
        <v>330</v>
      </c>
      <c r="I210" s="5">
        <v>280</v>
      </c>
      <c r="J210" s="5">
        <v>3</v>
      </c>
      <c r="K210" s="5">
        <f t="shared" si="5"/>
        <v>840</v>
      </c>
      <c r="L210" s="3" t="s">
        <v>26</v>
      </c>
      <c r="M210" s="35"/>
      <c r="N210" s="35"/>
      <c r="O210" s="35"/>
      <c r="P210" s="35"/>
    </row>
    <row r="211" spans="2:16" x14ac:dyDescent="0.25">
      <c r="B211" s="35"/>
      <c r="C211" s="35"/>
      <c r="D211" s="35"/>
      <c r="E211" s="38"/>
      <c r="F211" s="35"/>
      <c r="G211" s="35"/>
      <c r="H211" s="8" t="s">
        <v>331</v>
      </c>
      <c r="I211" s="5">
        <v>500</v>
      </c>
      <c r="J211" s="5">
        <v>3</v>
      </c>
      <c r="K211" s="5">
        <f t="shared" si="5"/>
        <v>1500</v>
      </c>
      <c r="L211" s="3" t="s">
        <v>26</v>
      </c>
      <c r="M211" s="35"/>
      <c r="N211" s="35"/>
      <c r="O211" s="35"/>
      <c r="P211" s="35"/>
    </row>
    <row r="212" spans="2:16" x14ac:dyDescent="0.25">
      <c r="B212" s="35"/>
      <c r="C212" s="35"/>
      <c r="D212" s="35"/>
      <c r="E212" s="38"/>
      <c r="F212" s="35"/>
      <c r="G212" s="35"/>
      <c r="H212" s="8" t="s">
        <v>332</v>
      </c>
      <c r="I212" s="5">
        <v>140</v>
      </c>
      <c r="J212" s="5">
        <v>7</v>
      </c>
      <c r="K212" s="5">
        <f t="shared" si="5"/>
        <v>980</v>
      </c>
      <c r="L212" s="3" t="s">
        <v>26</v>
      </c>
      <c r="M212" s="35"/>
      <c r="N212" s="35"/>
      <c r="O212" s="35"/>
      <c r="P212" s="35"/>
    </row>
    <row r="213" spans="2:16" x14ac:dyDescent="0.25">
      <c r="B213" s="35"/>
      <c r="C213" s="35"/>
      <c r="D213" s="35"/>
      <c r="E213" s="38"/>
      <c r="F213" s="35"/>
      <c r="G213" s="35"/>
      <c r="H213" s="8" t="s">
        <v>333</v>
      </c>
      <c r="I213" s="5">
        <v>90</v>
      </c>
      <c r="J213" s="5">
        <v>10</v>
      </c>
      <c r="K213" s="5">
        <f t="shared" si="5"/>
        <v>900</v>
      </c>
      <c r="L213" s="3" t="s">
        <v>26</v>
      </c>
      <c r="M213" s="35"/>
      <c r="N213" s="35"/>
      <c r="O213" s="35"/>
      <c r="P213" s="35"/>
    </row>
    <row r="214" spans="2:16" x14ac:dyDescent="0.25">
      <c r="B214" s="35"/>
      <c r="C214" s="35"/>
      <c r="D214" s="35"/>
      <c r="E214" s="38"/>
      <c r="F214" s="35"/>
      <c r="G214" s="35"/>
      <c r="H214" s="8" t="s">
        <v>334</v>
      </c>
      <c r="I214" s="5">
        <v>70</v>
      </c>
      <c r="J214" s="5">
        <v>10</v>
      </c>
      <c r="K214" s="5">
        <f t="shared" si="5"/>
        <v>700</v>
      </c>
      <c r="L214" s="3" t="s">
        <v>340</v>
      </c>
      <c r="M214" s="35"/>
      <c r="N214" s="35"/>
      <c r="O214" s="35"/>
      <c r="P214" s="35"/>
    </row>
    <row r="215" spans="2:16" x14ac:dyDescent="0.25">
      <c r="B215" s="35"/>
      <c r="C215" s="35"/>
      <c r="D215" s="35"/>
      <c r="E215" s="38"/>
      <c r="F215" s="35"/>
      <c r="G215" s="35"/>
      <c r="H215" s="8" t="s">
        <v>335</v>
      </c>
      <c r="I215" s="5">
        <v>90</v>
      </c>
      <c r="J215" s="5">
        <v>12</v>
      </c>
      <c r="K215" s="5">
        <f t="shared" si="5"/>
        <v>1080</v>
      </c>
      <c r="L215" s="3" t="s">
        <v>341</v>
      </c>
      <c r="M215" s="35"/>
      <c r="N215" s="35"/>
      <c r="O215" s="35"/>
      <c r="P215" s="35"/>
    </row>
    <row r="216" spans="2:16" x14ac:dyDescent="0.25">
      <c r="B216" s="35"/>
      <c r="C216" s="35"/>
      <c r="D216" s="35"/>
      <c r="E216" s="38"/>
      <c r="F216" s="35"/>
      <c r="G216" s="35"/>
      <c r="H216" s="8" t="s">
        <v>336</v>
      </c>
      <c r="I216" s="5">
        <v>90</v>
      </c>
      <c r="J216" s="5">
        <v>6</v>
      </c>
      <c r="K216" s="5">
        <f t="shared" si="5"/>
        <v>540</v>
      </c>
      <c r="L216" s="3" t="s">
        <v>26</v>
      </c>
      <c r="M216" s="35"/>
      <c r="N216" s="35"/>
      <c r="O216" s="35"/>
      <c r="P216" s="35"/>
    </row>
    <row r="217" spans="2:16" x14ac:dyDescent="0.25">
      <c r="B217" s="35"/>
      <c r="C217" s="35"/>
      <c r="D217" s="35"/>
      <c r="E217" s="38"/>
      <c r="F217" s="35"/>
      <c r="G217" s="35"/>
      <c r="H217" s="8" t="s">
        <v>337</v>
      </c>
      <c r="I217" s="5">
        <v>1300</v>
      </c>
      <c r="J217" s="5">
        <v>2</v>
      </c>
      <c r="K217" s="5">
        <f t="shared" si="5"/>
        <v>2600</v>
      </c>
      <c r="L217" s="3" t="s">
        <v>26</v>
      </c>
      <c r="M217" s="35"/>
      <c r="N217" s="35"/>
      <c r="O217" s="35"/>
      <c r="P217" s="35"/>
    </row>
    <row r="218" spans="2:16" x14ac:dyDescent="0.25">
      <c r="B218" s="35"/>
      <c r="C218" s="35"/>
      <c r="D218" s="35"/>
      <c r="E218" s="38"/>
      <c r="F218" s="35"/>
      <c r="G218" s="35"/>
      <c r="H218" s="8" t="s">
        <v>338</v>
      </c>
      <c r="I218" s="5">
        <v>110</v>
      </c>
      <c r="J218" s="5">
        <v>10</v>
      </c>
      <c r="K218" s="5">
        <f t="shared" ref="K218:K239" si="6">I218*J218</f>
        <v>1100</v>
      </c>
      <c r="L218" s="3" t="s">
        <v>26</v>
      </c>
      <c r="M218" s="35"/>
      <c r="N218" s="35"/>
      <c r="O218" s="35"/>
      <c r="P218" s="35"/>
    </row>
    <row r="219" spans="2:16" x14ac:dyDescent="0.25">
      <c r="B219" s="36"/>
      <c r="C219" s="36"/>
      <c r="D219" s="36"/>
      <c r="E219" s="39"/>
      <c r="F219" s="36"/>
      <c r="G219" s="36"/>
      <c r="H219" s="8" t="s">
        <v>339</v>
      </c>
      <c r="I219" s="5">
        <v>600</v>
      </c>
      <c r="J219" s="5">
        <v>2</v>
      </c>
      <c r="K219" s="5">
        <f t="shared" si="6"/>
        <v>1200</v>
      </c>
      <c r="L219" s="3" t="s">
        <v>26</v>
      </c>
      <c r="M219" s="36"/>
      <c r="N219" s="36"/>
      <c r="O219" s="36"/>
      <c r="P219" s="36"/>
    </row>
    <row r="220" spans="2:16" x14ac:dyDescent="0.25">
      <c r="B220" s="3">
        <v>48</v>
      </c>
      <c r="C220" s="1"/>
      <c r="D220" s="1"/>
      <c r="E220" s="30">
        <v>45699</v>
      </c>
      <c r="F220" s="3" t="s">
        <v>343</v>
      </c>
      <c r="G220" s="3" t="s">
        <v>344</v>
      </c>
      <c r="H220" s="8" t="s">
        <v>345</v>
      </c>
      <c r="I220" s="5">
        <v>21000</v>
      </c>
      <c r="J220" s="5">
        <v>1</v>
      </c>
      <c r="K220" s="5">
        <f t="shared" si="6"/>
        <v>21000</v>
      </c>
      <c r="L220" s="3" t="s">
        <v>26</v>
      </c>
      <c r="M220" s="3" t="s">
        <v>346</v>
      </c>
      <c r="N220" s="3" t="s">
        <v>76</v>
      </c>
      <c r="O220" s="3" t="s">
        <v>347</v>
      </c>
      <c r="P220" s="29" t="s">
        <v>348</v>
      </c>
    </row>
    <row r="221" spans="2:16" x14ac:dyDescent="0.25">
      <c r="B221" s="3">
        <v>49</v>
      </c>
      <c r="C221" s="1"/>
      <c r="D221" s="1"/>
      <c r="E221" s="30">
        <v>45695</v>
      </c>
      <c r="F221" s="3">
        <v>1562</v>
      </c>
      <c r="G221" s="3" t="s">
        <v>349</v>
      </c>
      <c r="H221" s="8" t="s">
        <v>350</v>
      </c>
      <c r="I221" s="5">
        <v>28</v>
      </c>
      <c r="J221" s="5">
        <v>250</v>
      </c>
      <c r="K221" s="5">
        <f t="shared" si="6"/>
        <v>7000</v>
      </c>
      <c r="L221" s="3" t="s">
        <v>82</v>
      </c>
      <c r="M221" s="3" t="s">
        <v>351</v>
      </c>
      <c r="N221" s="3" t="s">
        <v>210</v>
      </c>
      <c r="O221" s="3">
        <v>9427952420</v>
      </c>
      <c r="P221" s="29" t="s">
        <v>352</v>
      </c>
    </row>
    <row r="222" spans="2:16" x14ac:dyDescent="0.25">
      <c r="B222" s="34">
        <v>50</v>
      </c>
      <c r="C222" s="34"/>
      <c r="D222" s="34"/>
      <c r="E222" s="37">
        <v>45692</v>
      </c>
      <c r="F222" s="34" t="s">
        <v>353</v>
      </c>
      <c r="G222" s="34" t="s">
        <v>296</v>
      </c>
      <c r="H222" s="8" t="s">
        <v>354</v>
      </c>
      <c r="I222" s="5">
        <v>220</v>
      </c>
      <c r="J222" s="5">
        <v>10</v>
      </c>
      <c r="K222" s="5">
        <f t="shared" si="6"/>
        <v>2200</v>
      </c>
      <c r="L222" s="34" t="s">
        <v>82</v>
      </c>
      <c r="M222" s="34" t="s">
        <v>301</v>
      </c>
      <c r="N222" s="44" t="s">
        <v>302</v>
      </c>
      <c r="O222" s="34" t="s">
        <v>70</v>
      </c>
      <c r="P222" s="34" t="s">
        <v>303</v>
      </c>
    </row>
    <row r="223" spans="2:16" x14ac:dyDescent="0.25">
      <c r="B223" s="36"/>
      <c r="C223" s="36"/>
      <c r="D223" s="36"/>
      <c r="E223" s="39"/>
      <c r="F223" s="36"/>
      <c r="G223" s="36"/>
      <c r="H223" s="8" t="s">
        <v>355</v>
      </c>
      <c r="I223" s="5">
        <v>275</v>
      </c>
      <c r="J223" s="5">
        <v>2</v>
      </c>
      <c r="K223" s="5">
        <f t="shared" si="6"/>
        <v>550</v>
      </c>
      <c r="L223" s="36"/>
      <c r="M223" s="36"/>
      <c r="N223" s="45"/>
      <c r="O223" s="36"/>
      <c r="P223" s="36"/>
    </row>
    <row r="224" spans="2:16" x14ac:dyDescent="0.25">
      <c r="B224" s="34">
        <v>51</v>
      </c>
      <c r="C224" s="34"/>
      <c r="D224" s="34"/>
      <c r="E224" s="37">
        <v>45685</v>
      </c>
      <c r="F224" s="34">
        <v>1559</v>
      </c>
      <c r="G224" s="34" t="s">
        <v>349</v>
      </c>
      <c r="H224" s="8" t="s">
        <v>350</v>
      </c>
      <c r="I224" s="5">
        <v>28</v>
      </c>
      <c r="J224" s="5">
        <v>150</v>
      </c>
      <c r="K224" s="5">
        <f t="shared" si="6"/>
        <v>4200</v>
      </c>
      <c r="L224" s="34" t="s">
        <v>82</v>
      </c>
      <c r="M224" s="34" t="s">
        <v>351</v>
      </c>
      <c r="N224" s="34" t="s">
        <v>210</v>
      </c>
      <c r="O224" s="34">
        <v>9427952420</v>
      </c>
      <c r="P224" s="34" t="s">
        <v>352</v>
      </c>
    </row>
    <row r="225" spans="2:16" x14ac:dyDescent="0.25">
      <c r="B225" s="36"/>
      <c r="C225" s="36"/>
      <c r="D225" s="36"/>
      <c r="E225" s="39"/>
      <c r="F225" s="36"/>
      <c r="G225" s="36"/>
      <c r="H225" s="8" t="s">
        <v>356</v>
      </c>
      <c r="I225" s="5">
        <v>550</v>
      </c>
      <c r="J225" s="5">
        <v>1</v>
      </c>
      <c r="K225" s="5">
        <f t="shared" si="6"/>
        <v>550</v>
      </c>
      <c r="L225" s="36"/>
      <c r="M225" s="36"/>
      <c r="N225" s="36"/>
      <c r="O225" s="36"/>
      <c r="P225" s="36"/>
    </row>
    <row r="226" spans="2:16" ht="30" x14ac:dyDescent="0.25">
      <c r="B226" s="3">
        <v>52</v>
      </c>
      <c r="C226" s="1"/>
      <c r="D226" s="1"/>
      <c r="E226" s="30">
        <v>45661</v>
      </c>
      <c r="F226" s="3">
        <v>2586</v>
      </c>
      <c r="G226" s="3" t="s">
        <v>357</v>
      </c>
      <c r="H226" s="8" t="s">
        <v>358</v>
      </c>
      <c r="I226" s="5">
        <v>36.950000000000003</v>
      </c>
      <c r="J226" s="5">
        <v>600</v>
      </c>
      <c r="K226" s="5">
        <f t="shared" si="6"/>
        <v>22170</v>
      </c>
      <c r="L226" s="3" t="s">
        <v>82</v>
      </c>
      <c r="M226" s="3" t="s">
        <v>359</v>
      </c>
      <c r="N226" s="7" t="s">
        <v>360</v>
      </c>
      <c r="O226" s="3">
        <v>9322515637</v>
      </c>
      <c r="P226" s="29" t="s">
        <v>70</v>
      </c>
    </row>
    <row r="227" spans="2:16" x14ac:dyDescent="0.25">
      <c r="B227" s="3">
        <v>53</v>
      </c>
      <c r="C227" s="1"/>
      <c r="D227" s="1"/>
      <c r="E227" s="30">
        <v>45684</v>
      </c>
      <c r="F227" s="3" t="s">
        <v>361</v>
      </c>
      <c r="G227" s="3" t="s">
        <v>362</v>
      </c>
      <c r="H227" s="8" t="s">
        <v>363</v>
      </c>
      <c r="I227" s="5">
        <v>205</v>
      </c>
      <c r="J227" s="5">
        <v>160</v>
      </c>
      <c r="K227" s="5">
        <f t="shared" si="6"/>
        <v>32800</v>
      </c>
      <c r="L227" s="3" t="s">
        <v>364</v>
      </c>
      <c r="M227" s="3" t="s">
        <v>365</v>
      </c>
      <c r="N227" s="3" t="s">
        <v>366</v>
      </c>
      <c r="O227" s="3" t="s">
        <v>367</v>
      </c>
      <c r="P227" s="29" t="s">
        <v>368</v>
      </c>
    </row>
    <row r="228" spans="2:16" ht="30" x14ac:dyDescent="0.25">
      <c r="B228" s="3">
        <v>54</v>
      </c>
      <c r="C228" s="1"/>
      <c r="D228" s="1"/>
      <c r="E228" s="30">
        <v>45686</v>
      </c>
      <c r="F228" s="3">
        <v>2583</v>
      </c>
      <c r="G228" s="3" t="s">
        <v>357</v>
      </c>
      <c r="H228" s="8" t="s">
        <v>369</v>
      </c>
      <c r="I228" s="5">
        <v>3150</v>
      </c>
      <c r="J228" s="5">
        <v>4</v>
      </c>
      <c r="K228" s="5">
        <f t="shared" si="6"/>
        <v>12600</v>
      </c>
      <c r="L228" s="3" t="s">
        <v>82</v>
      </c>
      <c r="M228" s="3" t="s">
        <v>359</v>
      </c>
      <c r="N228" s="7" t="s">
        <v>360</v>
      </c>
      <c r="O228" s="3">
        <v>9322515637</v>
      </c>
      <c r="P228" s="29" t="s">
        <v>70</v>
      </c>
    </row>
    <row r="229" spans="2:16" x14ac:dyDescent="0.25">
      <c r="B229" s="34">
        <v>55</v>
      </c>
      <c r="C229" s="34"/>
      <c r="D229" s="34"/>
      <c r="E229" s="37">
        <v>45686</v>
      </c>
      <c r="F229" s="34" t="s">
        <v>370</v>
      </c>
      <c r="G229" s="34" t="s">
        <v>371</v>
      </c>
      <c r="H229" s="8" t="s">
        <v>372</v>
      </c>
      <c r="I229" s="5">
        <v>178</v>
      </c>
      <c r="J229" s="5">
        <v>5</v>
      </c>
      <c r="K229" s="5">
        <f t="shared" si="6"/>
        <v>890</v>
      </c>
      <c r="L229" s="34" t="s">
        <v>26</v>
      </c>
      <c r="M229" s="34" t="s">
        <v>375</v>
      </c>
      <c r="N229" s="44" t="s">
        <v>376</v>
      </c>
      <c r="O229" s="44" t="s">
        <v>377</v>
      </c>
      <c r="P229" s="34" t="s">
        <v>70</v>
      </c>
    </row>
    <row r="230" spans="2:16" x14ac:dyDescent="0.25">
      <c r="B230" s="35"/>
      <c r="C230" s="35"/>
      <c r="D230" s="35"/>
      <c r="E230" s="38"/>
      <c r="F230" s="35"/>
      <c r="G230" s="35"/>
      <c r="H230" s="8" t="s">
        <v>373</v>
      </c>
      <c r="I230" s="5">
        <v>229</v>
      </c>
      <c r="J230" s="5">
        <v>10</v>
      </c>
      <c r="K230" s="5">
        <f t="shared" si="6"/>
        <v>2290</v>
      </c>
      <c r="L230" s="35"/>
      <c r="M230" s="35"/>
      <c r="N230" s="50"/>
      <c r="O230" s="50"/>
      <c r="P230" s="35"/>
    </row>
    <row r="231" spans="2:16" x14ac:dyDescent="0.25">
      <c r="B231" s="36"/>
      <c r="C231" s="36"/>
      <c r="D231" s="36"/>
      <c r="E231" s="39"/>
      <c r="F231" s="36"/>
      <c r="G231" s="36"/>
      <c r="H231" s="8" t="s">
        <v>374</v>
      </c>
      <c r="I231" s="5">
        <v>263</v>
      </c>
      <c r="J231" s="5">
        <v>10</v>
      </c>
      <c r="K231" s="5">
        <f t="shared" si="6"/>
        <v>2630</v>
      </c>
      <c r="L231" s="36"/>
      <c r="M231" s="36"/>
      <c r="N231" s="45"/>
      <c r="O231" s="45"/>
      <c r="P231" s="36"/>
    </row>
    <row r="232" spans="2:16" x14ac:dyDescent="0.25">
      <c r="B232" s="34">
        <v>56</v>
      </c>
      <c r="C232" s="34"/>
      <c r="D232" s="34"/>
      <c r="E232" s="37">
        <v>45658</v>
      </c>
      <c r="F232" s="34" t="s">
        <v>378</v>
      </c>
      <c r="G232" s="34" t="s">
        <v>296</v>
      </c>
      <c r="H232" s="8" t="s">
        <v>379</v>
      </c>
      <c r="I232" s="5">
        <v>670</v>
      </c>
      <c r="J232" s="5">
        <v>1</v>
      </c>
      <c r="K232" s="5">
        <f t="shared" si="6"/>
        <v>670</v>
      </c>
      <c r="L232" s="34" t="s">
        <v>82</v>
      </c>
      <c r="M232" s="34" t="s">
        <v>301</v>
      </c>
      <c r="N232" s="44" t="s">
        <v>302</v>
      </c>
      <c r="O232" s="34" t="s">
        <v>70</v>
      </c>
      <c r="P232" s="34" t="s">
        <v>303</v>
      </c>
    </row>
    <row r="233" spans="2:16" x14ac:dyDescent="0.25">
      <c r="B233" s="36"/>
      <c r="C233" s="36"/>
      <c r="D233" s="36"/>
      <c r="E233" s="39"/>
      <c r="F233" s="36"/>
      <c r="G233" s="36"/>
      <c r="H233" s="8" t="s">
        <v>380</v>
      </c>
      <c r="I233" s="5">
        <v>1880</v>
      </c>
      <c r="J233" s="5">
        <v>80</v>
      </c>
      <c r="K233" s="5">
        <f t="shared" si="6"/>
        <v>150400</v>
      </c>
      <c r="L233" s="36"/>
      <c r="M233" s="36"/>
      <c r="N233" s="45"/>
      <c r="O233" s="36"/>
      <c r="P233" s="36"/>
    </row>
    <row r="234" spans="2:16" x14ac:dyDescent="0.25">
      <c r="B234" s="34">
        <v>57</v>
      </c>
      <c r="C234" s="40"/>
      <c r="D234" s="40"/>
      <c r="E234" s="37">
        <v>45660</v>
      </c>
      <c r="F234" s="34" t="s">
        <v>382</v>
      </c>
      <c r="G234" s="34" t="s">
        <v>296</v>
      </c>
      <c r="H234" s="8" t="s">
        <v>383</v>
      </c>
      <c r="I234" s="5">
        <v>3400</v>
      </c>
      <c r="J234" s="5">
        <v>1</v>
      </c>
      <c r="K234" s="5">
        <f t="shared" si="6"/>
        <v>3400</v>
      </c>
      <c r="L234" s="34" t="s">
        <v>82</v>
      </c>
      <c r="M234" s="34" t="s">
        <v>301</v>
      </c>
      <c r="N234" s="42" t="s">
        <v>302</v>
      </c>
      <c r="O234" s="34" t="s">
        <v>70</v>
      </c>
      <c r="P234" s="34" t="s">
        <v>303</v>
      </c>
    </row>
    <row r="235" spans="2:16" x14ac:dyDescent="0.25">
      <c r="B235" s="36"/>
      <c r="C235" s="41"/>
      <c r="D235" s="41"/>
      <c r="E235" s="39"/>
      <c r="F235" s="36"/>
      <c r="G235" s="36"/>
      <c r="H235" s="8" t="s">
        <v>384</v>
      </c>
      <c r="I235" s="5">
        <v>255</v>
      </c>
      <c r="J235" s="5">
        <v>80</v>
      </c>
      <c r="K235" s="5">
        <f t="shared" si="6"/>
        <v>20400</v>
      </c>
      <c r="L235" s="36"/>
      <c r="M235" s="36"/>
      <c r="N235" s="43"/>
      <c r="O235" s="36"/>
      <c r="P235" s="36"/>
    </row>
    <row r="236" spans="2:16" x14ac:dyDescent="0.25">
      <c r="B236" s="34">
        <v>58</v>
      </c>
      <c r="C236" s="34"/>
      <c r="D236" s="34"/>
      <c r="E236" s="37">
        <v>45665</v>
      </c>
      <c r="F236" s="34">
        <v>2336</v>
      </c>
      <c r="G236" s="34" t="s">
        <v>46</v>
      </c>
      <c r="H236" s="8" t="s">
        <v>385</v>
      </c>
      <c r="I236" s="5">
        <v>82</v>
      </c>
      <c r="J236" s="5">
        <v>3600</v>
      </c>
      <c r="K236" s="5">
        <f t="shared" si="6"/>
        <v>295200</v>
      </c>
      <c r="L236" s="3" t="s">
        <v>26</v>
      </c>
      <c r="M236" s="34" t="s">
        <v>49</v>
      </c>
      <c r="N236" s="34" t="s">
        <v>35</v>
      </c>
      <c r="O236" s="34">
        <v>8080081448</v>
      </c>
      <c r="P236" s="34" t="s">
        <v>50</v>
      </c>
    </row>
    <row r="237" spans="2:16" x14ac:dyDescent="0.25">
      <c r="B237" s="35"/>
      <c r="C237" s="35"/>
      <c r="D237" s="35"/>
      <c r="E237" s="38"/>
      <c r="F237" s="35"/>
      <c r="G237" s="35"/>
      <c r="H237" s="8" t="s">
        <v>127</v>
      </c>
      <c r="I237" s="5">
        <v>32.950000000000003</v>
      </c>
      <c r="J237" s="5">
        <v>1600</v>
      </c>
      <c r="K237" s="5">
        <f t="shared" si="6"/>
        <v>52720.000000000007</v>
      </c>
      <c r="L237" s="3" t="s">
        <v>131</v>
      </c>
      <c r="M237" s="35"/>
      <c r="N237" s="35"/>
      <c r="O237" s="35"/>
      <c r="P237" s="35"/>
    </row>
    <row r="238" spans="2:16" x14ac:dyDescent="0.25">
      <c r="B238" s="35"/>
      <c r="C238" s="35"/>
      <c r="D238" s="35"/>
      <c r="E238" s="38"/>
      <c r="F238" s="35"/>
      <c r="G238" s="35"/>
      <c r="H238" s="8" t="s">
        <v>386</v>
      </c>
      <c r="I238" s="5">
        <v>12.93</v>
      </c>
      <c r="J238" s="5">
        <v>3600</v>
      </c>
      <c r="K238" s="5">
        <f t="shared" si="6"/>
        <v>46548</v>
      </c>
      <c r="L238" s="3" t="s">
        <v>131</v>
      </c>
      <c r="M238" s="35"/>
      <c r="N238" s="35"/>
      <c r="O238" s="35"/>
      <c r="P238" s="35"/>
    </row>
    <row r="239" spans="2:16" x14ac:dyDescent="0.25">
      <c r="B239" s="36"/>
      <c r="C239" s="36"/>
      <c r="D239" s="36"/>
      <c r="E239" s="39"/>
      <c r="F239" s="36"/>
      <c r="G239" s="36"/>
      <c r="H239" s="8" t="s">
        <v>387</v>
      </c>
      <c r="I239" s="5">
        <v>8.77</v>
      </c>
      <c r="J239" s="5">
        <v>4800</v>
      </c>
      <c r="K239" s="5">
        <f t="shared" si="6"/>
        <v>42096</v>
      </c>
      <c r="L239" s="3" t="s">
        <v>131</v>
      </c>
      <c r="M239" s="36"/>
      <c r="N239" s="36"/>
      <c r="O239" s="36"/>
      <c r="P239" s="36"/>
    </row>
    <row r="240" spans="2:16" x14ac:dyDescent="0.25">
      <c r="B240" s="34">
        <v>59</v>
      </c>
      <c r="C240" s="34"/>
      <c r="D240" s="34"/>
      <c r="E240" s="37">
        <v>45667</v>
      </c>
      <c r="F240" s="34" t="s">
        <v>388</v>
      </c>
      <c r="G240" s="34" t="s">
        <v>296</v>
      </c>
      <c r="H240" s="8" t="s">
        <v>389</v>
      </c>
      <c r="I240" s="5">
        <v>2700</v>
      </c>
      <c r="J240" s="5">
        <v>1</v>
      </c>
      <c r="K240" s="5">
        <f>I240*J240</f>
        <v>2700</v>
      </c>
      <c r="L240" s="34" t="s">
        <v>26</v>
      </c>
      <c r="M240" s="34" t="s">
        <v>301</v>
      </c>
      <c r="N240" s="44" t="s">
        <v>302</v>
      </c>
      <c r="O240" s="34" t="s">
        <v>70</v>
      </c>
      <c r="P240" s="34" t="s">
        <v>303</v>
      </c>
    </row>
    <row r="241" spans="2:16" x14ac:dyDescent="0.25">
      <c r="B241" s="36"/>
      <c r="C241" s="36"/>
      <c r="D241" s="36"/>
      <c r="E241" s="39"/>
      <c r="F241" s="36"/>
      <c r="G241" s="36"/>
      <c r="H241" s="8" t="s">
        <v>299</v>
      </c>
      <c r="I241" s="5">
        <v>290</v>
      </c>
      <c r="J241" s="5">
        <v>2</v>
      </c>
      <c r="K241" s="5">
        <f t="shared" ref="K241:K304" si="7">I241*J241</f>
        <v>580</v>
      </c>
      <c r="L241" s="36"/>
      <c r="M241" s="36"/>
      <c r="N241" s="45"/>
      <c r="O241" s="36"/>
      <c r="P241" s="36"/>
    </row>
    <row r="242" spans="2:16" x14ac:dyDescent="0.25">
      <c r="B242" s="34">
        <v>60</v>
      </c>
      <c r="C242" s="34"/>
      <c r="D242" s="34"/>
      <c r="E242" s="37">
        <v>45671</v>
      </c>
      <c r="F242" s="34" t="s">
        <v>390</v>
      </c>
      <c r="G242" s="34" t="s">
        <v>196</v>
      </c>
      <c r="H242" s="8" t="s">
        <v>391</v>
      </c>
      <c r="I242" s="5">
        <v>230</v>
      </c>
      <c r="J242" s="5">
        <v>332.1</v>
      </c>
      <c r="K242" s="5">
        <f t="shared" si="7"/>
        <v>76383</v>
      </c>
      <c r="L242" s="31" t="s">
        <v>203</v>
      </c>
      <c r="M242" s="34" t="s">
        <v>204</v>
      </c>
      <c r="N242" s="44" t="s">
        <v>205</v>
      </c>
      <c r="O242" s="34">
        <v>8080808521</v>
      </c>
      <c r="P242" s="34" t="s">
        <v>206</v>
      </c>
    </row>
    <row r="243" spans="2:16" x14ac:dyDescent="0.25">
      <c r="B243" s="35"/>
      <c r="C243" s="35"/>
      <c r="D243" s="35"/>
      <c r="E243" s="38"/>
      <c r="F243" s="35"/>
      <c r="G243" s="35"/>
      <c r="H243" s="8" t="s">
        <v>392</v>
      </c>
      <c r="I243" s="5">
        <v>365</v>
      </c>
      <c r="J243" s="5">
        <v>20</v>
      </c>
      <c r="K243" s="5">
        <f t="shared" si="7"/>
        <v>7300</v>
      </c>
      <c r="L243" s="31" t="s">
        <v>203</v>
      </c>
      <c r="M243" s="35"/>
      <c r="N243" s="50"/>
      <c r="O243" s="35"/>
      <c r="P243" s="35"/>
    </row>
    <row r="244" spans="2:16" x14ac:dyDescent="0.25">
      <c r="B244" s="35"/>
      <c r="C244" s="35"/>
      <c r="D244" s="35"/>
      <c r="E244" s="38"/>
      <c r="F244" s="35"/>
      <c r="G244" s="35"/>
      <c r="H244" s="8" t="s">
        <v>393</v>
      </c>
      <c r="I244" s="5">
        <v>40</v>
      </c>
      <c r="J244" s="5">
        <v>25</v>
      </c>
      <c r="K244" s="5">
        <f t="shared" si="7"/>
        <v>1000</v>
      </c>
      <c r="L244" s="31" t="s">
        <v>26</v>
      </c>
      <c r="M244" s="35"/>
      <c r="N244" s="50"/>
      <c r="O244" s="35"/>
      <c r="P244" s="35"/>
    </row>
    <row r="245" spans="2:16" x14ac:dyDescent="0.25">
      <c r="B245" s="36"/>
      <c r="C245" s="36"/>
      <c r="D245" s="36"/>
      <c r="E245" s="39"/>
      <c r="F245" s="36"/>
      <c r="G245" s="36"/>
      <c r="H245" s="8" t="s">
        <v>394</v>
      </c>
      <c r="I245" s="5">
        <v>30</v>
      </c>
      <c r="J245" s="5">
        <v>10</v>
      </c>
      <c r="K245" s="5">
        <f t="shared" si="7"/>
        <v>300</v>
      </c>
      <c r="L245" s="31" t="s">
        <v>26</v>
      </c>
      <c r="M245" s="36"/>
      <c r="N245" s="45"/>
      <c r="O245" s="36"/>
      <c r="P245" s="36"/>
    </row>
    <row r="246" spans="2:16" x14ac:dyDescent="0.25">
      <c r="B246" s="31">
        <v>61</v>
      </c>
      <c r="C246" s="1"/>
      <c r="D246" s="1"/>
      <c r="E246" s="33">
        <v>45672</v>
      </c>
      <c r="F246" s="31" t="s">
        <v>395</v>
      </c>
      <c r="G246" s="31" t="s">
        <v>362</v>
      </c>
      <c r="H246" s="8" t="s">
        <v>363</v>
      </c>
      <c r="I246" s="5">
        <v>205</v>
      </c>
      <c r="J246" s="5">
        <v>200</v>
      </c>
      <c r="K246" s="5">
        <f t="shared" si="7"/>
        <v>41000</v>
      </c>
      <c r="L246" s="31" t="s">
        <v>364</v>
      </c>
      <c r="M246" s="31" t="s">
        <v>365</v>
      </c>
      <c r="N246" s="31" t="s">
        <v>366</v>
      </c>
      <c r="O246" s="32" t="s">
        <v>367</v>
      </c>
      <c r="P246" s="32" t="s">
        <v>368</v>
      </c>
    </row>
    <row r="247" spans="2:16" x14ac:dyDescent="0.25">
      <c r="B247" s="34">
        <v>62</v>
      </c>
      <c r="C247" s="34"/>
      <c r="D247" s="34"/>
      <c r="E247" s="37">
        <v>45679</v>
      </c>
      <c r="F247" s="34">
        <v>2298</v>
      </c>
      <c r="G247" s="34" t="s">
        <v>30</v>
      </c>
      <c r="H247" s="8" t="s">
        <v>396</v>
      </c>
      <c r="I247" s="5">
        <v>12.67</v>
      </c>
      <c r="J247" s="5">
        <v>5400</v>
      </c>
      <c r="K247" s="5">
        <f t="shared" si="7"/>
        <v>68418</v>
      </c>
      <c r="L247" s="34" t="s">
        <v>131</v>
      </c>
      <c r="M247" s="34" t="s">
        <v>34</v>
      </c>
      <c r="N247" s="34" t="s">
        <v>35</v>
      </c>
      <c r="O247" s="34">
        <v>8080081448</v>
      </c>
      <c r="P247" s="34" t="s">
        <v>36</v>
      </c>
    </row>
    <row r="248" spans="2:16" x14ac:dyDescent="0.25">
      <c r="B248" s="36"/>
      <c r="C248" s="36"/>
      <c r="D248" s="36"/>
      <c r="E248" s="39"/>
      <c r="F248" s="36"/>
      <c r="G248" s="36"/>
      <c r="H248" s="8" t="s">
        <v>397</v>
      </c>
      <c r="I248" s="5">
        <v>20.57</v>
      </c>
      <c r="J248" s="5">
        <v>36000</v>
      </c>
      <c r="K248" s="5">
        <f t="shared" si="7"/>
        <v>740520</v>
      </c>
      <c r="L248" s="36"/>
      <c r="M248" s="36"/>
      <c r="N248" s="36"/>
      <c r="O248" s="36"/>
      <c r="P248" s="36"/>
    </row>
    <row r="249" spans="2:16" x14ac:dyDescent="0.25">
      <c r="B249" s="31">
        <v>63</v>
      </c>
      <c r="C249" s="1"/>
      <c r="D249" s="1"/>
      <c r="E249" s="33">
        <v>45680</v>
      </c>
      <c r="F249" s="31" t="s">
        <v>398</v>
      </c>
      <c r="G249" s="31" t="s">
        <v>399</v>
      </c>
      <c r="H249" s="8" t="s">
        <v>400</v>
      </c>
      <c r="I249" s="5">
        <v>1060</v>
      </c>
      <c r="J249" s="5">
        <v>63.6</v>
      </c>
      <c r="K249" s="5">
        <f t="shared" si="7"/>
        <v>67416</v>
      </c>
      <c r="L249" s="31" t="s">
        <v>203</v>
      </c>
      <c r="M249" s="31" t="s">
        <v>401</v>
      </c>
      <c r="N249" s="31" t="s">
        <v>402</v>
      </c>
      <c r="O249" s="31">
        <v>8286881590</v>
      </c>
      <c r="P249" s="32" t="s">
        <v>403</v>
      </c>
    </row>
    <row r="250" spans="2:16" x14ac:dyDescent="0.25">
      <c r="B250" s="34">
        <v>64</v>
      </c>
      <c r="C250" s="34"/>
      <c r="D250" s="34"/>
      <c r="E250" s="37">
        <v>45684</v>
      </c>
      <c r="F250" s="34" t="s">
        <v>404</v>
      </c>
      <c r="G250" s="34" t="s">
        <v>405</v>
      </c>
      <c r="H250" s="8" t="s">
        <v>406</v>
      </c>
      <c r="I250" s="5">
        <v>36</v>
      </c>
      <c r="J250" s="5">
        <v>25</v>
      </c>
      <c r="K250" s="5">
        <f t="shared" si="7"/>
        <v>900</v>
      </c>
      <c r="L250" s="34" t="s">
        <v>26</v>
      </c>
      <c r="M250" s="34" t="s">
        <v>409</v>
      </c>
      <c r="N250" s="34" t="s">
        <v>410</v>
      </c>
      <c r="O250" s="34" t="s">
        <v>411</v>
      </c>
      <c r="P250" s="34" t="s">
        <v>412</v>
      </c>
    </row>
    <row r="251" spans="2:16" x14ac:dyDescent="0.25">
      <c r="B251" s="35"/>
      <c r="C251" s="35"/>
      <c r="D251" s="35"/>
      <c r="E251" s="38"/>
      <c r="F251" s="35"/>
      <c r="G251" s="35"/>
      <c r="H251" s="8" t="s">
        <v>407</v>
      </c>
      <c r="I251" s="5">
        <v>42</v>
      </c>
      <c r="J251" s="5">
        <v>50</v>
      </c>
      <c r="K251" s="5">
        <f t="shared" si="7"/>
        <v>2100</v>
      </c>
      <c r="L251" s="35"/>
      <c r="M251" s="35"/>
      <c r="N251" s="35"/>
      <c r="O251" s="35"/>
      <c r="P251" s="35"/>
    </row>
    <row r="252" spans="2:16" x14ac:dyDescent="0.25">
      <c r="B252" s="36"/>
      <c r="C252" s="36"/>
      <c r="D252" s="36"/>
      <c r="E252" s="39"/>
      <c r="F252" s="36"/>
      <c r="G252" s="36"/>
      <c r="H252" s="8" t="s">
        <v>408</v>
      </c>
      <c r="I252" s="5">
        <v>68</v>
      </c>
      <c r="J252" s="5">
        <v>26</v>
      </c>
      <c r="K252" s="5">
        <f t="shared" si="7"/>
        <v>1768</v>
      </c>
      <c r="L252" s="36"/>
      <c r="M252" s="36"/>
      <c r="N252" s="36"/>
      <c r="O252" s="36"/>
      <c r="P252" s="36"/>
    </row>
    <row r="253" spans="2:16" x14ac:dyDescent="0.25">
      <c r="B253" s="34">
        <v>65</v>
      </c>
      <c r="C253" s="34"/>
      <c r="D253" s="34"/>
      <c r="E253" s="37">
        <v>45681</v>
      </c>
      <c r="F253" s="34">
        <v>2324</v>
      </c>
      <c r="G253" s="34" t="s">
        <v>30</v>
      </c>
      <c r="H253" s="8" t="s">
        <v>413</v>
      </c>
      <c r="I253" s="5">
        <v>1797.06</v>
      </c>
      <c r="J253" s="5">
        <v>80</v>
      </c>
      <c r="K253" s="5">
        <f t="shared" si="7"/>
        <v>143764.79999999999</v>
      </c>
      <c r="L253" s="31" t="s">
        <v>26</v>
      </c>
      <c r="M253" s="34" t="s">
        <v>34</v>
      </c>
      <c r="N253" s="34" t="s">
        <v>35</v>
      </c>
      <c r="O253" s="44" t="s">
        <v>417</v>
      </c>
      <c r="P253" s="34" t="s">
        <v>36</v>
      </c>
    </row>
    <row r="254" spans="2:16" x14ac:dyDescent="0.25">
      <c r="B254" s="35"/>
      <c r="C254" s="35"/>
      <c r="D254" s="35"/>
      <c r="E254" s="38"/>
      <c r="F254" s="35"/>
      <c r="G254" s="35"/>
      <c r="H254" s="8" t="s">
        <v>414</v>
      </c>
      <c r="I254" s="5">
        <v>108.48</v>
      </c>
      <c r="J254" s="5">
        <v>200</v>
      </c>
      <c r="K254" s="5">
        <f t="shared" si="7"/>
        <v>21696</v>
      </c>
      <c r="L254" s="31" t="s">
        <v>26</v>
      </c>
      <c r="M254" s="35"/>
      <c r="N254" s="35"/>
      <c r="O254" s="50"/>
      <c r="P254" s="35"/>
    </row>
    <row r="255" spans="2:16" x14ac:dyDescent="0.25">
      <c r="B255" s="35"/>
      <c r="C255" s="35"/>
      <c r="D255" s="35"/>
      <c r="E255" s="38"/>
      <c r="F255" s="35"/>
      <c r="G255" s="35"/>
      <c r="H255" s="8" t="s">
        <v>415</v>
      </c>
      <c r="I255" s="5">
        <v>126.24</v>
      </c>
      <c r="J255" s="5">
        <v>200</v>
      </c>
      <c r="K255" s="5">
        <f t="shared" si="7"/>
        <v>25248</v>
      </c>
      <c r="L255" s="31" t="s">
        <v>26</v>
      </c>
      <c r="M255" s="35"/>
      <c r="N255" s="35"/>
      <c r="O255" s="50"/>
      <c r="P255" s="35"/>
    </row>
    <row r="256" spans="2:16" x14ac:dyDescent="0.25">
      <c r="B256" s="35"/>
      <c r="C256" s="35"/>
      <c r="D256" s="35"/>
      <c r="E256" s="38"/>
      <c r="F256" s="35"/>
      <c r="G256" s="35"/>
      <c r="H256" s="8" t="s">
        <v>416</v>
      </c>
      <c r="I256" s="5">
        <v>1545</v>
      </c>
      <c r="J256" s="5">
        <v>240</v>
      </c>
      <c r="K256" s="5">
        <f t="shared" si="7"/>
        <v>370800</v>
      </c>
      <c r="L256" s="31" t="s">
        <v>33</v>
      </c>
      <c r="M256" s="35"/>
      <c r="N256" s="35"/>
      <c r="O256" s="50"/>
      <c r="P256" s="35"/>
    </row>
    <row r="257" spans="2:16" x14ac:dyDescent="0.25">
      <c r="B257" s="35"/>
      <c r="C257" s="35"/>
      <c r="D257" s="35"/>
      <c r="E257" s="38"/>
      <c r="F257" s="35"/>
      <c r="G257" s="35"/>
      <c r="H257" s="8" t="s">
        <v>39</v>
      </c>
      <c r="I257" s="5">
        <v>5632.95</v>
      </c>
      <c r="J257" s="5">
        <v>40</v>
      </c>
      <c r="K257" s="5">
        <f t="shared" si="7"/>
        <v>225318</v>
      </c>
      <c r="L257" s="31" t="s">
        <v>33</v>
      </c>
      <c r="M257" s="35"/>
      <c r="N257" s="35"/>
      <c r="O257" s="50"/>
      <c r="P257" s="35"/>
    </row>
    <row r="258" spans="2:16" x14ac:dyDescent="0.25">
      <c r="B258" s="36"/>
      <c r="C258" s="36"/>
      <c r="D258" s="36"/>
      <c r="E258" s="39"/>
      <c r="F258" s="36"/>
      <c r="G258" s="36"/>
      <c r="H258" s="8" t="s">
        <v>38</v>
      </c>
      <c r="I258" s="5">
        <v>2367.9</v>
      </c>
      <c r="J258" s="5">
        <v>30</v>
      </c>
      <c r="K258" s="5">
        <f t="shared" si="7"/>
        <v>71037</v>
      </c>
      <c r="L258" s="31" t="s">
        <v>33</v>
      </c>
      <c r="M258" s="36"/>
      <c r="N258" s="36"/>
      <c r="O258" s="45"/>
      <c r="P258" s="36"/>
    </row>
    <row r="259" spans="2:16" x14ac:dyDescent="0.25">
      <c r="B259" s="31"/>
      <c r="C259" s="1"/>
      <c r="D259" s="1"/>
      <c r="E259" s="31"/>
      <c r="F259" s="31"/>
      <c r="G259" s="31"/>
      <c r="H259" s="8"/>
      <c r="I259" s="5"/>
      <c r="J259" s="5"/>
      <c r="K259" s="5">
        <f t="shared" si="7"/>
        <v>0</v>
      </c>
      <c r="L259" s="31"/>
      <c r="M259" s="31"/>
      <c r="N259" s="31"/>
      <c r="O259" s="31"/>
      <c r="P259" s="1"/>
    </row>
    <row r="260" spans="2:16" x14ac:dyDescent="0.25">
      <c r="B260" s="31"/>
      <c r="C260" s="1"/>
      <c r="D260" s="1"/>
      <c r="E260" s="31"/>
      <c r="F260" s="31"/>
      <c r="G260" s="31"/>
      <c r="H260" s="8"/>
      <c r="I260" s="5"/>
      <c r="J260" s="5"/>
      <c r="K260" s="5">
        <f t="shared" si="7"/>
        <v>0</v>
      </c>
      <c r="L260" s="31"/>
      <c r="M260" s="31"/>
      <c r="N260" s="31"/>
      <c r="O260" s="31"/>
      <c r="P260" s="1"/>
    </row>
    <row r="261" spans="2:16" x14ac:dyDescent="0.25">
      <c r="B261" s="31"/>
      <c r="C261" s="1"/>
      <c r="D261" s="1"/>
      <c r="E261" s="31"/>
      <c r="F261" s="31"/>
      <c r="G261" s="31"/>
      <c r="H261" s="8"/>
      <c r="I261" s="5"/>
      <c r="J261" s="5"/>
      <c r="K261" s="5">
        <f t="shared" si="7"/>
        <v>0</v>
      </c>
      <c r="L261" s="31"/>
      <c r="M261" s="31"/>
      <c r="N261" s="31"/>
      <c r="O261" s="31"/>
      <c r="P261" s="1"/>
    </row>
    <row r="262" spans="2:16" x14ac:dyDescent="0.25">
      <c r="B262" s="31"/>
      <c r="C262" s="1"/>
      <c r="D262" s="1"/>
      <c r="E262" s="31"/>
      <c r="F262" s="31"/>
      <c r="G262" s="31"/>
      <c r="H262" s="8"/>
      <c r="I262" s="5"/>
      <c r="J262" s="5"/>
      <c r="K262" s="5">
        <f t="shared" si="7"/>
        <v>0</v>
      </c>
      <c r="L262" s="31"/>
      <c r="M262" s="31"/>
      <c r="N262" s="31"/>
      <c r="O262" s="31"/>
      <c r="P262" s="1"/>
    </row>
    <row r="263" spans="2:16" x14ac:dyDescent="0.25">
      <c r="B263" s="31"/>
      <c r="C263" s="1"/>
      <c r="D263" s="1"/>
      <c r="E263" s="31"/>
      <c r="F263" s="31"/>
      <c r="G263" s="31"/>
      <c r="H263" s="8"/>
      <c r="I263" s="5"/>
      <c r="J263" s="5"/>
      <c r="K263" s="5">
        <f t="shared" si="7"/>
        <v>0</v>
      </c>
      <c r="L263" s="31"/>
      <c r="M263" s="31"/>
      <c r="N263" s="31"/>
      <c r="O263" s="31"/>
      <c r="P263" s="1"/>
    </row>
    <row r="264" spans="2:16" x14ac:dyDescent="0.25">
      <c r="B264" s="31"/>
      <c r="C264" s="1"/>
      <c r="D264" s="1"/>
      <c r="E264" s="31"/>
      <c r="F264" s="31"/>
      <c r="G264" s="31"/>
      <c r="H264" s="8"/>
      <c r="I264" s="5"/>
      <c r="J264" s="5"/>
      <c r="K264" s="5">
        <f t="shared" si="7"/>
        <v>0</v>
      </c>
      <c r="L264" s="31"/>
      <c r="M264" s="31"/>
      <c r="N264" s="31"/>
      <c r="O264" s="31"/>
      <c r="P264" s="1"/>
    </row>
    <row r="265" spans="2:16" x14ac:dyDescent="0.25">
      <c r="B265" s="31"/>
      <c r="C265" s="1"/>
      <c r="D265" s="1"/>
      <c r="E265" s="31"/>
      <c r="F265" s="31"/>
      <c r="G265" s="31"/>
      <c r="H265" s="8"/>
      <c r="I265" s="5"/>
      <c r="J265" s="5"/>
      <c r="K265" s="5">
        <f t="shared" si="7"/>
        <v>0</v>
      </c>
      <c r="L265" s="31"/>
      <c r="M265" s="31"/>
      <c r="N265" s="31"/>
      <c r="O265" s="31"/>
      <c r="P265" s="1"/>
    </row>
    <row r="266" spans="2:16" x14ac:dyDescent="0.25">
      <c r="B266" s="31"/>
      <c r="C266" s="1"/>
      <c r="D266" s="1"/>
      <c r="E266" s="31"/>
      <c r="F266" s="31"/>
      <c r="G266" s="31"/>
      <c r="H266" s="8"/>
      <c r="I266" s="5"/>
      <c r="J266" s="5"/>
      <c r="K266" s="5">
        <f t="shared" si="7"/>
        <v>0</v>
      </c>
      <c r="L266" s="31"/>
      <c r="M266" s="31"/>
      <c r="N266" s="31"/>
      <c r="O266" s="31"/>
      <c r="P266" s="1"/>
    </row>
    <row r="267" spans="2:16" x14ac:dyDescent="0.25">
      <c r="B267" s="31"/>
      <c r="C267" s="1"/>
      <c r="D267" s="1"/>
      <c r="E267" s="31"/>
      <c r="F267" s="31"/>
      <c r="G267" s="31"/>
      <c r="H267" s="8"/>
      <c r="I267" s="5"/>
      <c r="J267" s="5"/>
      <c r="K267" s="5">
        <f t="shared" si="7"/>
        <v>0</v>
      </c>
      <c r="L267" s="31"/>
      <c r="M267" s="31"/>
      <c r="N267" s="31"/>
      <c r="O267" s="31"/>
      <c r="P267" s="1"/>
    </row>
    <row r="268" spans="2:16" x14ac:dyDescent="0.25">
      <c r="B268" s="31"/>
      <c r="C268" s="1"/>
      <c r="D268" s="1"/>
      <c r="E268" s="31"/>
      <c r="F268" s="31"/>
      <c r="G268" s="31"/>
      <c r="H268" s="8"/>
      <c r="I268" s="5"/>
      <c r="J268" s="5"/>
      <c r="K268" s="5">
        <f t="shared" si="7"/>
        <v>0</v>
      </c>
      <c r="L268" s="31"/>
      <c r="M268" s="31"/>
      <c r="N268" s="31"/>
      <c r="O268" s="31"/>
      <c r="P268" s="1"/>
    </row>
    <row r="269" spans="2:16" x14ac:dyDescent="0.25">
      <c r="B269" s="31"/>
      <c r="C269" s="1"/>
      <c r="D269" s="1"/>
      <c r="E269" s="31"/>
      <c r="F269" s="31"/>
      <c r="G269" s="31"/>
      <c r="H269" s="8"/>
      <c r="I269" s="5"/>
      <c r="J269" s="5"/>
      <c r="K269" s="5">
        <f t="shared" si="7"/>
        <v>0</v>
      </c>
      <c r="L269" s="31"/>
      <c r="M269" s="31"/>
      <c r="N269" s="31"/>
      <c r="O269" s="31"/>
      <c r="P269" s="1"/>
    </row>
    <row r="270" spans="2:16" x14ac:dyDescent="0.25">
      <c r="B270" s="31"/>
      <c r="C270" s="1"/>
      <c r="D270" s="1"/>
      <c r="E270" s="31"/>
      <c r="F270" s="31"/>
      <c r="G270" s="31"/>
      <c r="H270" s="8"/>
      <c r="I270" s="5"/>
      <c r="J270" s="5"/>
      <c r="K270" s="5">
        <f t="shared" si="7"/>
        <v>0</v>
      </c>
      <c r="L270" s="31"/>
      <c r="M270" s="31"/>
      <c r="N270" s="31"/>
      <c r="O270" s="31"/>
      <c r="P270" s="1"/>
    </row>
    <row r="271" spans="2:16" x14ac:dyDescent="0.25">
      <c r="B271" s="31"/>
      <c r="C271" s="1"/>
      <c r="D271" s="1"/>
      <c r="E271" s="31"/>
      <c r="F271" s="31"/>
      <c r="G271" s="31"/>
      <c r="H271" s="8"/>
      <c r="I271" s="5"/>
      <c r="J271" s="5"/>
      <c r="K271" s="5">
        <f t="shared" si="7"/>
        <v>0</v>
      </c>
      <c r="L271" s="31"/>
      <c r="M271" s="31"/>
      <c r="N271" s="31"/>
      <c r="O271" s="31"/>
      <c r="P271" s="1"/>
    </row>
    <row r="272" spans="2:16" x14ac:dyDescent="0.25">
      <c r="B272" s="31"/>
      <c r="C272" s="1"/>
      <c r="D272" s="1"/>
      <c r="E272" s="31"/>
      <c r="F272" s="31"/>
      <c r="G272" s="31"/>
      <c r="H272" s="8"/>
      <c r="I272" s="5"/>
      <c r="J272" s="5"/>
      <c r="K272" s="5">
        <f t="shared" si="7"/>
        <v>0</v>
      </c>
      <c r="L272" s="31"/>
      <c r="M272" s="31"/>
      <c r="N272" s="31"/>
      <c r="O272" s="31"/>
      <c r="P272" s="1"/>
    </row>
    <row r="273" spans="2:16" x14ac:dyDescent="0.25">
      <c r="B273" s="31"/>
      <c r="C273" s="1"/>
      <c r="D273" s="1"/>
      <c r="E273" s="31"/>
      <c r="F273" s="31"/>
      <c r="G273" s="31"/>
      <c r="H273" s="8"/>
      <c r="I273" s="5"/>
      <c r="J273" s="5"/>
      <c r="K273" s="5">
        <f t="shared" si="7"/>
        <v>0</v>
      </c>
      <c r="L273" s="31"/>
      <c r="M273" s="31"/>
      <c r="N273" s="31"/>
      <c r="O273" s="31"/>
      <c r="P273" s="1"/>
    </row>
    <row r="274" spans="2:16" x14ac:dyDescent="0.25">
      <c r="B274" s="31"/>
      <c r="C274" s="1"/>
      <c r="D274" s="1"/>
      <c r="E274" s="31"/>
      <c r="F274" s="31"/>
      <c r="G274" s="31"/>
      <c r="H274" s="8"/>
      <c r="I274" s="5"/>
      <c r="J274" s="5"/>
      <c r="K274" s="5">
        <f t="shared" si="7"/>
        <v>0</v>
      </c>
      <c r="L274" s="31"/>
      <c r="M274" s="31"/>
      <c r="N274" s="31"/>
      <c r="O274" s="31"/>
      <c r="P274" s="1"/>
    </row>
    <row r="275" spans="2:16" x14ac:dyDescent="0.25">
      <c r="B275" s="31"/>
      <c r="C275" s="1"/>
      <c r="D275" s="1"/>
      <c r="E275" s="31"/>
      <c r="F275" s="31"/>
      <c r="G275" s="31"/>
      <c r="H275" s="8"/>
      <c r="I275" s="5"/>
      <c r="J275" s="5"/>
      <c r="K275" s="5">
        <f t="shared" si="7"/>
        <v>0</v>
      </c>
      <c r="L275" s="31"/>
      <c r="M275" s="31"/>
      <c r="N275" s="31"/>
      <c r="O275" s="31"/>
      <c r="P275" s="1"/>
    </row>
    <row r="276" spans="2:16" x14ac:dyDescent="0.25">
      <c r="B276" s="31"/>
      <c r="C276" s="1"/>
      <c r="D276" s="1"/>
      <c r="E276" s="31"/>
      <c r="F276" s="31"/>
      <c r="G276" s="31"/>
      <c r="H276" s="8"/>
      <c r="I276" s="5"/>
      <c r="J276" s="5"/>
      <c r="K276" s="5">
        <f t="shared" si="7"/>
        <v>0</v>
      </c>
      <c r="L276" s="31"/>
      <c r="M276" s="31"/>
      <c r="N276" s="31"/>
      <c r="O276" s="31"/>
      <c r="P276" s="1"/>
    </row>
    <row r="277" spans="2:16" x14ac:dyDescent="0.25">
      <c r="B277" s="31"/>
      <c r="C277" s="1"/>
      <c r="D277" s="1"/>
      <c r="E277" s="31"/>
      <c r="F277" s="31"/>
      <c r="G277" s="31"/>
      <c r="H277" s="8"/>
      <c r="I277" s="5"/>
      <c r="J277" s="5"/>
      <c r="K277" s="5">
        <f t="shared" si="7"/>
        <v>0</v>
      </c>
      <c r="L277" s="31"/>
      <c r="M277" s="31"/>
      <c r="N277" s="31"/>
      <c r="O277" s="31"/>
      <c r="P277" s="1"/>
    </row>
    <row r="278" spans="2:16" x14ac:dyDescent="0.25">
      <c r="B278" s="31"/>
      <c r="C278" s="1"/>
      <c r="D278" s="1"/>
      <c r="E278" s="31"/>
      <c r="F278" s="31"/>
      <c r="G278" s="31"/>
      <c r="H278" s="8"/>
      <c r="I278" s="5"/>
      <c r="J278" s="5"/>
      <c r="K278" s="5">
        <f t="shared" si="7"/>
        <v>0</v>
      </c>
      <c r="L278" s="31"/>
      <c r="M278" s="31"/>
      <c r="N278" s="31"/>
      <c r="O278" s="31"/>
      <c r="P278" s="1"/>
    </row>
    <row r="279" spans="2:16" x14ac:dyDescent="0.25">
      <c r="B279" s="31"/>
      <c r="C279" s="1"/>
      <c r="D279" s="1"/>
      <c r="E279" s="31"/>
      <c r="F279" s="31"/>
      <c r="G279" s="31"/>
      <c r="H279" s="8"/>
      <c r="I279" s="5"/>
      <c r="J279" s="5"/>
      <c r="K279" s="5">
        <f t="shared" si="7"/>
        <v>0</v>
      </c>
      <c r="L279" s="31"/>
      <c r="M279" s="31"/>
      <c r="N279" s="31"/>
      <c r="O279" s="31"/>
      <c r="P279" s="1"/>
    </row>
    <row r="280" spans="2:16" x14ac:dyDescent="0.25">
      <c r="B280" s="31"/>
      <c r="C280" s="1"/>
      <c r="D280" s="1"/>
      <c r="E280" s="31"/>
      <c r="F280" s="31"/>
      <c r="G280" s="31"/>
      <c r="H280" s="8"/>
      <c r="I280" s="5"/>
      <c r="J280" s="5"/>
      <c r="K280" s="5">
        <f t="shared" si="7"/>
        <v>0</v>
      </c>
      <c r="L280" s="31"/>
      <c r="M280" s="31"/>
      <c r="N280" s="31"/>
      <c r="O280" s="31"/>
      <c r="P280" s="1"/>
    </row>
    <row r="281" spans="2:16" x14ac:dyDescent="0.25">
      <c r="B281" s="31"/>
      <c r="C281" s="1"/>
      <c r="D281" s="1"/>
      <c r="E281" s="31"/>
      <c r="F281" s="31"/>
      <c r="G281" s="31"/>
      <c r="H281" s="8"/>
      <c r="I281" s="5"/>
      <c r="J281" s="5"/>
      <c r="K281" s="5">
        <f t="shared" si="7"/>
        <v>0</v>
      </c>
      <c r="L281" s="31"/>
      <c r="M281" s="31"/>
      <c r="N281" s="31"/>
      <c r="O281" s="31"/>
      <c r="P281" s="1"/>
    </row>
    <row r="282" spans="2:16" x14ac:dyDescent="0.25">
      <c r="B282" s="31"/>
      <c r="C282" s="1"/>
      <c r="D282" s="1"/>
      <c r="E282" s="31"/>
      <c r="F282" s="31"/>
      <c r="G282" s="31"/>
      <c r="H282" s="8"/>
      <c r="I282" s="5"/>
      <c r="J282" s="5"/>
      <c r="K282" s="5">
        <f t="shared" si="7"/>
        <v>0</v>
      </c>
      <c r="L282" s="31"/>
      <c r="M282" s="31"/>
      <c r="N282" s="31"/>
      <c r="O282" s="31"/>
      <c r="P282" s="1"/>
    </row>
    <row r="283" spans="2:16" x14ac:dyDescent="0.25">
      <c r="B283" s="31"/>
      <c r="C283" s="1"/>
      <c r="D283" s="1"/>
      <c r="E283" s="31"/>
      <c r="F283" s="31"/>
      <c r="G283" s="31"/>
      <c r="H283" s="8"/>
      <c r="I283" s="5"/>
      <c r="J283" s="5"/>
      <c r="K283" s="5">
        <f t="shared" si="7"/>
        <v>0</v>
      </c>
      <c r="L283" s="31"/>
      <c r="M283" s="31"/>
      <c r="N283" s="31"/>
      <c r="O283" s="31"/>
      <c r="P283" s="1"/>
    </row>
    <row r="284" spans="2:16" x14ac:dyDescent="0.25">
      <c r="B284" s="31"/>
      <c r="C284" s="1"/>
      <c r="D284" s="1"/>
      <c r="E284" s="31"/>
      <c r="F284" s="31"/>
      <c r="G284" s="31"/>
      <c r="H284" s="8"/>
      <c r="I284" s="5"/>
      <c r="J284" s="5"/>
      <c r="K284" s="5">
        <f t="shared" si="7"/>
        <v>0</v>
      </c>
      <c r="L284" s="31"/>
      <c r="M284" s="31"/>
      <c r="N284" s="31"/>
      <c r="O284" s="31"/>
      <c r="P284" s="1"/>
    </row>
    <row r="285" spans="2:16" x14ac:dyDescent="0.25">
      <c r="B285" s="31"/>
      <c r="C285" s="1"/>
      <c r="D285" s="1"/>
      <c r="E285" s="31"/>
      <c r="F285" s="31"/>
      <c r="G285" s="31"/>
      <c r="H285" s="8"/>
      <c r="I285" s="5"/>
      <c r="J285" s="5"/>
      <c r="K285" s="5">
        <f t="shared" si="7"/>
        <v>0</v>
      </c>
      <c r="L285" s="31"/>
      <c r="M285" s="31"/>
      <c r="N285" s="31"/>
      <c r="O285" s="31"/>
      <c r="P285" s="1"/>
    </row>
    <row r="286" spans="2:16" x14ac:dyDescent="0.25">
      <c r="B286" s="31"/>
      <c r="C286" s="1"/>
      <c r="D286" s="1"/>
      <c r="E286" s="31"/>
      <c r="F286" s="31"/>
      <c r="G286" s="31"/>
      <c r="H286" s="8"/>
      <c r="I286" s="5"/>
      <c r="J286" s="5"/>
      <c r="K286" s="5">
        <f t="shared" si="7"/>
        <v>0</v>
      </c>
      <c r="L286" s="31"/>
      <c r="M286" s="31"/>
      <c r="N286" s="31"/>
      <c r="O286" s="31"/>
      <c r="P286" s="1"/>
    </row>
    <row r="287" spans="2:16" x14ac:dyDescent="0.25">
      <c r="B287" s="31"/>
      <c r="C287" s="1"/>
      <c r="D287" s="1"/>
      <c r="E287" s="31"/>
      <c r="F287" s="31"/>
      <c r="G287" s="31"/>
      <c r="H287" s="8"/>
      <c r="I287" s="5"/>
      <c r="J287" s="5"/>
      <c r="K287" s="5">
        <f t="shared" si="7"/>
        <v>0</v>
      </c>
      <c r="L287" s="31"/>
      <c r="M287" s="31"/>
      <c r="N287" s="31"/>
      <c r="O287" s="31"/>
      <c r="P287" s="1"/>
    </row>
    <row r="288" spans="2:16" x14ac:dyDescent="0.25">
      <c r="B288" s="31"/>
      <c r="C288" s="1"/>
      <c r="D288" s="1"/>
      <c r="E288" s="31"/>
      <c r="F288" s="31"/>
      <c r="G288" s="31"/>
      <c r="H288" s="8"/>
      <c r="I288" s="5"/>
      <c r="J288" s="5"/>
      <c r="K288" s="5">
        <f t="shared" si="7"/>
        <v>0</v>
      </c>
      <c r="L288" s="31"/>
      <c r="M288" s="31"/>
      <c r="N288" s="31"/>
      <c r="O288" s="31"/>
      <c r="P288" s="1"/>
    </row>
    <row r="289" spans="2:16" x14ac:dyDescent="0.25">
      <c r="B289" s="31"/>
      <c r="C289" s="1"/>
      <c r="D289" s="1"/>
      <c r="E289" s="31"/>
      <c r="F289" s="31"/>
      <c r="G289" s="31"/>
      <c r="H289" s="8"/>
      <c r="I289" s="5"/>
      <c r="J289" s="5"/>
      <c r="K289" s="5">
        <f t="shared" si="7"/>
        <v>0</v>
      </c>
      <c r="L289" s="31"/>
      <c r="M289" s="31"/>
      <c r="N289" s="31"/>
      <c r="O289" s="31"/>
      <c r="P289" s="1"/>
    </row>
    <row r="290" spans="2:16" x14ac:dyDescent="0.25">
      <c r="B290" s="31"/>
      <c r="C290" s="1"/>
      <c r="D290" s="1"/>
      <c r="E290" s="31"/>
      <c r="F290" s="31"/>
      <c r="G290" s="31"/>
      <c r="H290" s="8"/>
      <c r="I290" s="31"/>
      <c r="J290" s="31"/>
      <c r="K290" s="5">
        <f t="shared" si="7"/>
        <v>0</v>
      </c>
      <c r="L290" s="31"/>
      <c r="M290" s="31"/>
      <c r="N290" s="31"/>
      <c r="O290" s="31"/>
      <c r="P290" s="1"/>
    </row>
    <row r="291" spans="2:16" x14ac:dyDescent="0.25">
      <c r="B291" s="31"/>
      <c r="C291" s="1"/>
      <c r="D291" s="1"/>
      <c r="E291" s="31"/>
      <c r="F291" s="31"/>
      <c r="G291" s="31"/>
      <c r="H291" s="8"/>
      <c r="I291" s="31"/>
      <c r="J291" s="31"/>
      <c r="K291" s="5">
        <f t="shared" si="7"/>
        <v>0</v>
      </c>
      <c r="L291" s="31"/>
      <c r="M291" s="31"/>
      <c r="N291" s="31"/>
      <c r="O291" s="31"/>
      <c r="P291" s="1"/>
    </row>
    <row r="292" spans="2:16" x14ac:dyDescent="0.25">
      <c r="B292" s="31"/>
      <c r="C292" s="1"/>
      <c r="D292" s="1"/>
      <c r="E292" s="31"/>
      <c r="F292" s="31"/>
      <c r="G292" s="31"/>
      <c r="H292" s="8"/>
      <c r="I292" s="31"/>
      <c r="J292" s="31"/>
      <c r="K292" s="5">
        <f t="shared" si="7"/>
        <v>0</v>
      </c>
      <c r="L292" s="31"/>
      <c r="M292" s="31"/>
      <c r="N292" s="31"/>
      <c r="O292" s="31"/>
      <c r="P292" s="1"/>
    </row>
    <row r="293" spans="2:16" x14ac:dyDescent="0.25">
      <c r="B293" s="31"/>
      <c r="C293" s="1"/>
      <c r="D293" s="1"/>
      <c r="E293" s="31"/>
      <c r="F293" s="31"/>
      <c r="G293" s="31"/>
      <c r="H293" s="8"/>
      <c r="I293" s="31"/>
      <c r="J293" s="31"/>
      <c r="K293" s="5">
        <f t="shared" si="7"/>
        <v>0</v>
      </c>
      <c r="L293" s="31"/>
      <c r="M293" s="31"/>
      <c r="N293" s="31"/>
      <c r="O293" s="31"/>
      <c r="P293" s="1"/>
    </row>
    <row r="294" spans="2:16" x14ac:dyDescent="0.25">
      <c r="B294" s="31"/>
      <c r="C294" s="1"/>
      <c r="D294" s="1"/>
      <c r="E294" s="31"/>
      <c r="F294" s="31"/>
      <c r="G294" s="31"/>
      <c r="H294" s="8"/>
      <c r="I294" s="31"/>
      <c r="J294" s="31"/>
      <c r="K294" s="5">
        <f t="shared" si="7"/>
        <v>0</v>
      </c>
      <c r="L294" s="31"/>
      <c r="M294" s="31"/>
      <c r="N294" s="31"/>
      <c r="O294" s="31"/>
      <c r="P294" s="1"/>
    </row>
    <row r="295" spans="2:16" x14ac:dyDescent="0.25">
      <c r="B295" s="31"/>
      <c r="C295" s="1"/>
      <c r="D295" s="1"/>
      <c r="E295" s="31"/>
      <c r="F295" s="31"/>
      <c r="G295" s="31"/>
      <c r="H295" s="8"/>
      <c r="I295" s="31"/>
      <c r="J295" s="31"/>
      <c r="K295" s="5">
        <f t="shared" si="7"/>
        <v>0</v>
      </c>
      <c r="L295" s="31"/>
      <c r="M295" s="31"/>
      <c r="N295" s="31"/>
      <c r="O295" s="31"/>
      <c r="P295" s="1"/>
    </row>
    <row r="296" spans="2:16" x14ac:dyDescent="0.25">
      <c r="B296" s="31"/>
      <c r="C296" s="1"/>
      <c r="D296" s="1"/>
      <c r="E296" s="31"/>
      <c r="F296" s="31"/>
      <c r="G296" s="31"/>
      <c r="H296" s="8"/>
      <c r="I296" s="31"/>
      <c r="J296" s="31"/>
      <c r="K296" s="5">
        <f t="shared" si="7"/>
        <v>0</v>
      </c>
      <c r="L296" s="31"/>
      <c r="M296" s="31"/>
      <c r="N296" s="31"/>
      <c r="O296" s="31"/>
      <c r="P296" s="1"/>
    </row>
    <row r="297" spans="2:16" x14ac:dyDescent="0.25">
      <c r="B297" s="31"/>
      <c r="C297" s="1"/>
      <c r="D297" s="1"/>
      <c r="E297" s="31"/>
      <c r="F297" s="31"/>
      <c r="G297" s="31"/>
      <c r="H297" s="8"/>
      <c r="I297" s="31"/>
      <c r="J297" s="31"/>
      <c r="K297" s="5">
        <f t="shared" si="7"/>
        <v>0</v>
      </c>
      <c r="L297" s="31"/>
      <c r="M297" s="31"/>
      <c r="N297" s="31"/>
      <c r="O297" s="31"/>
      <c r="P297" s="1"/>
    </row>
    <row r="298" spans="2:16" x14ac:dyDescent="0.25">
      <c r="B298" s="31"/>
      <c r="C298" s="1"/>
      <c r="D298" s="1"/>
      <c r="E298" s="31"/>
      <c r="F298" s="31"/>
      <c r="G298" s="31"/>
      <c r="H298" s="8"/>
      <c r="I298" s="31"/>
      <c r="J298" s="31"/>
      <c r="K298" s="5">
        <f t="shared" si="7"/>
        <v>0</v>
      </c>
      <c r="L298" s="31"/>
      <c r="M298" s="31"/>
      <c r="N298" s="31"/>
      <c r="O298" s="31"/>
      <c r="P298" s="1"/>
    </row>
    <row r="299" spans="2:16" x14ac:dyDescent="0.25">
      <c r="B299" s="31"/>
      <c r="C299" s="1"/>
      <c r="D299" s="1"/>
      <c r="E299" s="31"/>
      <c r="F299" s="31"/>
      <c r="G299" s="31"/>
      <c r="H299" s="8"/>
      <c r="I299" s="31"/>
      <c r="J299" s="31"/>
      <c r="K299" s="5">
        <f t="shared" si="7"/>
        <v>0</v>
      </c>
      <c r="L299" s="31"/>
      <c r="M299" s="31"/>
      <c r="N299" s="31"/>
      <c r="O299" s="31"/>
      <c r="P299" s="1"/>
    </row>
    <row r="300" spans="2:16" x14ac:dyDescent="0.25">
      <c r="B300" s="31"/>
      <c r="C300" s="1"/>
      <c r="D300" s="1"/>
      <c r="E300" s="31"/>
      <c r="F300" s="31"/>
      <c r="G300" s="31"/>
      <c r="H300" s="8"/>
      <c r="I300" s="31"/>
      <c r="J300" s="31"/>
      <c r="K300" s="5">
        <f t="shared" si="7"/>
        <v>0</v>
      </c>
      <c r="L300" s="31"/>
      <c r="M300" s="31"/>
      <c r="N300" s="31"/>
      <c r="O300" s="31"/>
      <c r="P300" s="1"/>
    </row>
    <row r="301" spans="2:16" x14ac:dyDescent="0.25">
      <c r="B301" s="31"/>
      <c r="C301" s="1"/>
      <c r="D301" s="1"/>
      <c r="E301" s="31"/>
      <c r="F301" s="31"/>
      <c r="G301" s="31"/>
      <c r="H301" s="8"/>
      <c r="I301" s="31"/>
      <c r="J301" s="31"/>
      <c r="K301" s="5">
        <f t="shared" si="7"/>
        <v>0</v>
      </c>
      <c r="L301" s="31"/>
      <c r="M301" s="31"/>
      <c r="N301" s="31"/>
      <c r="O301" s="31"/>
      <c r="P301" s="1"/>
    </row>
    <row r="302" spans="2:16" x14ac:dyDescent="0.25">
      <c r="B302" s="31"/>
      <c r="C302" s="1"/>
      <c r="D302" s="1"/>
      <c r="E302" s="31"/>
      <c r="F302" s="31"/>
      <c r="G302" s="31"/>
      <c r="H302" s="8"/>
      <c r="I302" s="31"/>
      <c r="J302" s="31"/>
      <c r="K302" s="5">
        <f t="shared" si="7"/>
        <v>0</v>
      </c>
      <c r="L302" s="31"/>
      <c r="M302" s="31"/>
      <c r="N302" s="31"/>
      <c r="O302" s="31"/>
      <c r="P302" s="1"/>
    </row>
    <row r="303" spans="2:16" x14ac:dyDescent="0.25">
      <c r="B303" s="31"/>
      <c r="C303" s="1"/>
      <c r="D303" s="1"/>
      <c r="E303" s="31"/>
      <c r="F303" s="31"/>
      <c r="G303" s="31"/>
      <c r="H303" s="8"/>
      <c r="I303" s="31"/>
      <c r="J303" s="31"/>
      <c r="K303" s="5">
        <f t="shared" si="7"/>
        <v>0</v>
      </c>
      <c r="L303" s="31"/>
      <c r="M303" s="31"/>
      <c r="N303" s="31"/>
      <c r="O303" s="31"/>
      <c r="P303" s="1"/>
    </row>
    <row r="304" spans="2:16" x14ac:dyDescent="0.25">
      <c r="B304" s="31"/>
      <c r="C304" s="1"/>
      <c r="D304" s="1"/>
      <c r="E304" s="31"/>
      <c r="F304" s="31"/>
      <c r="G304" s="31"/>
      <c r="H304" s="8"/>
      <c r="I304" s="31"/>
      <c r="J304" s="31"/>
      <c r="K304" s="5">
        <f t="shared" si="7"/>
        <v>0</v>
      </c>
      <c r="L304" s="31"/>
      <c r="M304" s="31"/>
      <c r="N304" s="31"/>
      <c r="O304" s="31"/>
      <c r="P304" s="1"/>
    </row>
    <row r="305" spans="2:16" x14ac:dyDescent="0.25">
      <c r="B305" s="31"/>
      <c r="C305" s="1"/>
      <c r="D305" s="1"/>
      <c r="E305" s="31"/>
      <c r="F305" s="31"/>
      <c r="G305" s="31"/>
      <c r="H305" s="8"/>
      <c r="I305" s="31"/>
      <c r="J305" s="31"/>
      <c r="K305" s="5">
        <f t="shared" ref="K305:K311" si="8">I305*J305</f>
        <v>0</v>
      </c>
      <c r="L305" s="31"/>
      <c r="M305" s="31"/>
      <c r="N305" s="31"/>
      <c r="O305" s="31"/>
      <c r="P305" s="1"/>
    </row>
    <row r="306" spans="2:16" x14ac:dyDescent="0.25">
      <c r="B306" s="31"/>
      <c r="C306" s="1"/>
      <c r="D306" s="1"/>
      <c r="E306" s="31"/>
      <c r="F306" s="31"/>
      <c r="G306" s="31"/>
      <c r="H306" s="8"/>
      <c r="I306" s="31"/>
      <c r="J306" s="31"/>
      <c r="K306" s="5">
        <f t="shared" si="8"/>
        <v>0</v>
      </c>
      <c r="L306" s="31"/>
      <c r="M306" s="31"/>
      <c r="N306" s="31"/>
      <c r="O306" s="31"/>
      <c r="P306" s="1"/>
    </row>
    <row r="307" spans="2:16" x14ac:dyDescent="0.25">
      <c r="B307" s="31"/>
      <c r="C307" s="1"/>
      <c r="D307" s="1"/>
      <c r="E307" s="31"/>
      <c r="F307" s="31"/>
      <c r="G307" s="31"/>
      <c r="H307" s="8"/>
      <c r="I307" s="31"/>
      <c r="J307" s="31"/>
      <c r="K307" s="5">
        <f t="shared" si="8"/>
        <v>0</v>
      </c>
      <c r="L307" s="31"/>
      <c r="M307" s="31"/>
      <c r="N307" s="31"/>
      <c r="O307" s="31"/>
      <c r="P307" s="1"/>
    </row>
    <row r="308" spans="2:16" x14ac:dyDescent="0.25">
      <c r="B308" s="31"/>
      <c r="C308" s="1"/>
      <c r="D308" s="1"/>
      <c r="E308" s="31"/>
      <c r="F308" s="31"/>
      <c r="G308" s="31"/>
      <c r="H308" s="8"/>
      <c r="I308" s="31"/>
      <c r="J308" s="31"/>
      <c r="K308" s="5">
        <f t="shared" si="8"/>
        <v>0</v>
      </c>
      <c r="L308" s="31"/>
      <c r="M308" s="31"/>
      <c r="N308" s="31"/>
      <c r="O308" s="31"/>
      <c r="P308" s="1"/>
    </row>
    <row r="309" spans="2:16" x14ac:dyDescent="0.25">
      <c r="B309" s="31"/>
      <c r="C309" s="1"/>
      <c r="D309" s="1"/>
      <c r="E309" s="31"/>
      <c r="F309" s="31"/>
      <c r="G309" s="31"/>
      <c r="H309" s="8"/>
      <c r="I309" s="31"/>
      <c r="J309" s="31"/>
      <c r="K309" s="5">
        <f t="shared" si="8"/>
        <v>0</v>
      </c>
      <c r="L309" s="31"/>
      <c r="M309" s="31"/>
      <c r="N309" s="31"/>
      <c r="O309" s="31"/>
      <c r="P309" s="1"/>
    </row>
    <row r="310" spans="2:16" x14ac:dyDescent="0.25">
      <c r="B310" s="31"/>
      <c r="C310" s="1"/>
      <c r="D310" s="1"/>
      <c r="E310" s="31"/>
      <c r="F310" s="31"/>
      <c r="G310" s="31"/>
      <c r="H310" s="8"/>
      <c r="I310" s="31"/>
      <c r="J310" s="31"/>
      <c r="K310" s="5">
        <f t="shared" si="8"/>
        <v>0</v>
      </c>
      <c r="L310" s="31"/>
      <c r="M310" s="31"/>
      <c r="N310" s="31"/>
      <c r="O310" s="31"/>
      <c r="P310" s="1"/>
    </row>
    <row r="311" spans="2:16" x14ac:dyDescent="0.25">
      <c r="B311" s="31"/>
      <c r="C311" s="1"/>
      <c r="D311" s="1"/>
      <c r="E311" s="31"/>
      <c r="F311" s="31"/>
      <c r="G311" s="31"/>
      <c r="H311" s="8"/>
      <c r="I311" s="31"/>
      <c r="J311" s="31"/>
      <c r="K311" s="5">
        <f t="shared" si="8"/>
        <v>0</v>
      </c>
      <c r="L311" s="31"/>
      <c r="M311" s="31"/>
      <c r="N311" s="31"/>
      <c r="O311" s="31"/>
      <c r="P311" s="1"/>
    </row>
    <row r="312" spans="2:16" x14ac:dyDescent="0.25">
      <c r="B312" s="31"/>
      <c r="C312" s="1"/>
      <c r="D312" s="1"/>
      <c r="E312" s="31"/>
      <c r="F312" s="31"/>
      <c r="G312" s="31"/>
      <c r="H312" s="8"/>
      <c r="I312" s="31"/>
      <c r="J312" s="31"/>
      <c r="K312" s="31"/>
      <c r="L312" s="31"/>
      <c r="M312" s="31"/>
      <c r="N312" s="31"/>
      <c r="O312" s="31"/>
      <c r="P312" s="1"/>
    </row>
    <row r="313" spans="2:16" x14ac:dyDescent="0.25">
      <c r="B313" s="31"/>
      <c r="C313" s="1"/>
      <c r="D313" s="1"/>
      <c r="E313" s="31"/>
      <c r="F313" s="31"/>
      <c r="G313" s="31"/>
      <c r="H313" s="8"/>
      <c r="I313" s="31"/>
      <c r="J313" s="31"/>
      <c r="K313" s="31"/>
      <c r="L313" s="31"/>
      <c r="M313" s="31"/>
      <c r="N313" s="31"/>
      <c r="O313" s="31"/>
      <c r="P313" s="1"/>
    </row>
    <row r="314" spans="2:16" x14ac:dyDescent="0.25">
      <c r="B314" s="31"/>
      <c r="C314" s="1"/>
      <c r="D314" s="1"/>
      <c r="E314" s="31"/>
      <c r="F314" s="31"/>
      <c r="G314" s="31"/>
      <c r="H314" s="8"/>
      <c r="I314" s="31"/>
      <c r="J314" s="31"/>
      <c r="K314" s="31"/>
      <c r="L314" s="31"/>
      <c r="M314" s="31"/>
      <c r="N314" s="31"/>
      <c r="O314" s="31"/>
      <c r="P314" s="1"/>
    </row>
    <row r="315" spans="2:16" x14ac:dyDescent="0.25">
      <c r="B315" s="31"/>
      <c r="C315" s="1"/>
      <c r="D315" s="1"/>
      <c r="E315" s="31"/>
      <c r="F315" s="31"/>
      <c r="G315" s="31"/>
      <c r="H315" s="8"/>
      <c r="I315" s="31"/>
      <c r="J315" s="31"/>
      <c r="K315" s="31"/>
      <c r="L315" s="31"/>
      <c r="M315" s="31"/>
      <c r="N315" s="31"/>
      <c r="O315" s="31"/>
      <c r="P315" s="1"/>
    </row>
    <row r="316" spans="2:16" x14ac:dyDescent="0.25">
      <c r="B316" s="31"/>
      <c r="C316" s="1"/>
      <c r="D316" s="1"/>
      <c r="E316" s="31"/>
      <c r="F316" s="31"/>
      <c r="G316" s="31"/>
      <c r="H316" s="8"/>
      <c r="I316" s="31"/>
      <c r="J316" s="31"/>
      <c r="K316" s="31"/>
      <c r="L316" s="31"/>
      <c r="M316" s="31"/>
      <c r="N316" s="31"/>
      <c r="O316" s="31"/>
      <c r="P316" s="1"/>
    </row>
    <row r="317" spans="2:16" x14ac:dyDescent="0.25">
      <c r="B317" s="31"/>
      <c r="C317" s="1"/>
      <c r="D317" s="1"/>
      <c r="E317" s="31"/>
      <c r="F317" s="31"/>
      <c r="G317" s="31"/>
      <c r="H317" s="8"/>
      <c r="I317" s="31"/>
      <c r="J317" s="31"/>
      <c r="K317" s="31"/>
      <c r="L317" s="31"/>
      <c r="M317" s="31"/>
      <c r="N317" s="31"/>
      <c r="O317" s="31"/>
      <c r="P317" s="1"/>
    </row>
    <row r="318" spans="2:16" x14ac:dyDescent="0.25">
      <c r="B318" s="31"/>
      <c r="C318" s="1"/>
      <c r="D318" s="1"/>
      <c r="E318" s="31"/>
      <c r="F318" s="31"/>
      <c r="G318" s="31"/>
      <c r="H318" s="8"/>
      <c r="I318" s="31"/>
      <c r="J318" s="31"/>
      <c r="K318" s="31"/>
      <c r="L318" s="31"/>
      <c r="M318" s="31"/>
      <c r="N318" s="31"/>
      <c r="O318" s="31"/>
      <c r="P318" s="1"/>
    </row>
    <row r="319" spans="2:16" x14ac:dyDescent="0.25">
      <c r="B319" s="31"/>
      <c r="C319" s="1"/>
      <c r="D319" s="1"/>
      <c r="E319" s="31"/>
      <c r="F319" s="31"/>
      <c r="G319" s="31"/>
      <c r="H319" s="8"/>
      <c r="I319" s="31"/>
      <c r="J319" s="31"/>
      <c r="K319" s="31"/>
      <c r="L319" s="31"/>
      <c r="M319" s="31"/>
      <c r="N319" s="31"/>
      <c r="O319" s="31"/>
      <c r="P319" s="1"/>
    </row>
    <row r="320" spans="2:16" x14ac:dyDescent="0.25">
      <c r="B320" s="31"/>
      <c r="C320" s="1"/>
      <c r="D320" s="1"/>
      <c r="E320" s="31"/>
      <c r="F320" s="31"/>
      <c r="G320" s="31"/>
      <c r="H320" s="8"/>
      <c r="I320" s="31"/>
      <c r="J320" s="31"/>
      <c r="K320" s="31"/>
      <c r="L320" s="31"/>
      <c r="M320" s="31"/>
      <c r="N320" s="31"/>
      <c r="O320" s="31"/>
      <c r="P320" s="1"/>
    </row>
  </sheetData>
  <mergeCells count="451">
    <mergeCell ref="P253:P258"/>
    <mergeCell ref="B253:B258"/>
    <mergeCell ref="C253:C258"/>
    <mergeCell ref="D253:D258"/>
    <mergeCell ref="E253:E258"/>
    <mergeCell ref="F253:F258"/>
    <mergeCell ref="G253:G258"/>
    <mergeCell ref="M253:M258"/>
    <mergeCell ref="N253:N258"/>
    <mergeCell ref="O253:O258"/>
    <mergeCell ref="P247:P248"/>
    <mergeCell ref="L247:L248"/>
    <mergeCell ref="B250:B252"/>
    <mergeCell ref="C250:C252"/>
    <mergeCell ref="D250:D252"/>
    <mergeCell ref="E250:E252"/>
    <mergeCell ref="F250:F252"/>
    <mergeCell ref="G250:G252"/>
    <mergeCell ref="M250:M252"/>
    <mergeCell ref="N250:N252"/>
    <mergeCell ref="O250:O252"/>
    <mergeCell ref="P250:P252"/>
    <mergeCell ref="L250:L252"/>
    <mergeCell ref="B247:B248"/>
    <mergeCell ref="C247:C248"/>
    <mergeCell ref="D247:D248"/>
    <mergeCell ref="E247:E248"/>
    <mergeCell ref="F247:F248"/>
    <mergeCell ref="G247:G248"/>
    <mergeCell ref="M247:M248"/>
    <mergeCell ref="N247:N248"/>
    <mergeCell ref="O247:O248"/>
    <mergeCell ref="O240:O241"/>
    <mergeCell ref="P240:P241"/>
    <mergeCell ref="B242:B245"/>
    <mergeCell ref="C242:C245"/>
    <mergeCell ref="D242:D245"/>
    <mergeCell ref="E242:E245"/>
    <mergeCell ref="F242:F245"/>
    <mergeCell ref="G242:G245"/>
    <mergeCell ref="M242:M245"/>
    <mergeCell ref="N242:N245"/>
    <mergeCell ref="O242:O245"/>
    <mergeCell ref="P242:P245"/>
    <mergeCell ref="B240:B241"/>
    <mergeCell ref="C240:C241"/>
    <mergeCell ref="D240:D241"/>
    <mergeCell ref="E240:E241"/>
    <mergeCell ref="F240:F241"/>
    <mergeCell ref="G240:G241"/>
    <mergeCell ref="L240:L241"/>
    <mergeCell ref="M240:M241"/>
    <mergeCell ref="N240:N241"/>
    <mergeCell ref="P224:P225"/>
    <mergeCell ref="L224:L225"/>
    <mergeCell ref="B229:B231"/>
    <mergeCell ref="C229:C231"/>
    <mergeCell ref="D229:D231"/>
    <mergeCell ref="E229:E231"/>
    <mergeCell ref="F229:F231"/>
    <mergeCell ref="G229:G231"/>
    <mergeCell ref="M229:M231"/>
    <mergeCell ref="N229:N231"/>
    <mergeCell ref="O229:O231"/>
    <mergeCell ref="P229:P231"/>
    <mergeCell ref="L229:L231"/>
    <mergeCell ref="B224:B225"/>
    <mergeCell ref="C224:C225"/>
    <mergeCell ref="D224:D225"/>
    <mergeCell ref="E224:E225"/>
    <mergeCell ref="F224:F225"/>
    <mergeCell ref="G224:G225"/>
    <mergeCell ref="M224:M225"/>
    <mergeCell ref="N224:N225"/>
    <mergeCell ref="O224:O225"/>
    <mergeCell ref="P201:P219"/>
    <mergeCell ref="P191:P193"/>
    <mergeCell ref="L191:L193"/>
    <mergeCell ref="P194:P200"/>
    <mergeCell ref="N191:N193"/>
    <mergeCell ref="O191:O193"/>
    <mergeCell ref="B222:B223"/>
    <mergeCell ref="C222:C223"/>
    <mergeCell ref="D222:D223"/>
    <mergeCell ref="E222:E223"/>
    <mergeCell ref="F222:F223"/>
    <mergeCell ref="G222:G223"/>
    <mergeCell ref="M222:M223"/>
    <mergeCell ref="N222:N223"/>
    <mergeCell ref="O222:O223"/>
    <mergeCell ref="P222:P223"/>
    <mergeCell ref="L222:L223"/>
    <mergeCell ref="N194:N200"/>
    <mergeCell ref="O194:O200"/>
    <mergeCell ref="D201:D219"/>
    <mergeCell ref="E201:E219"/>
    <mergeCell ref="F201:F219"/>
    <mergeCell ref="G201:G219"/>
    <mergeCell ref="M201:M219"/>
    <mergeCell ref="N201:N219"/>
    <mergeCell ref="O201:O219"/>
    <mergeCell ref="B201:B219"/>
    <mergeCell ref="C201:C219"/>
    <mergeCell ref="B191:B193"/>
    <mergeCell ref="C191:C193"/>
    <mergeCell ref="D191:D193"/>
    <mergeCell ref="E191:E193"/>
    <mergeCell ref="F191:F193"/>
    <mergeCell ref="G191:G193"/>
    <mergeCell ref="M191:M193"/>
    <mergeCell ref="B194:B200"/>
    <mergeCell ref="C194:C200"/>
    <mergeCell ref="D194:D200"/>
    <mergeCell ref="E194:E200"/>
    <mergeCell ref="F194:F200"/>
    <mergeCell ref="G194:G200"/>
    <mergeCell ref="M194:M200"/>
    <mergeCell ref="P184:P187"/>
    <mergeCell ref="B189:B190"/>
    <mergeCell ref="C189:C190"/>
    <mergeCell ref="D189:D190"/>
    <mergeCell ref="E189:E190"/>
    <mergeCell ref="F189:F190"/>
    <mergeCell ref="G189:G190"/>
    <mergeCell ref="M189:M190"/>
    <mergeCell ref="N189:N190"/>
    <mergeCell ref="O189:O190"/>
    <mergeCell ref="P189:P190"/>
    <mergeCell ref="B184:B187"/>
    <mergeCell ref="C184:C187"/>
    <mergeCell ref="D184:D187"/>
    <mergeCell ref="E184:E187"/>
    <mergeCell ref="F184:F187"/>
    <mergeCell ref="G184:G187"/>
    <mergeCell ref="M184:M187"/>
    <mergeCell ref="N184:N187"/>
    <mergeCell ref="O184:O187"/>
    <mergeCell ref="P174:P181"/>
    <mergeCell ref="L174:L181"/>
    <mergeCell ref="B182:B183"/>
    <mergeCell ref="C182:C183"/>
    <mergeCell ref="D182:D183"/>
    <mergeCell ref="E182:E183"/>
    <mergeCell ref="F182:F183"/>
    <mergeCell ref="G182:G183"/>
    <mergeCell ref="L182:L183"/>
    <mergeCell ref="M182:M183"/>
    <mergeCell ref="N182:N183"/>
    <mergeCell ref="O182:O183"/>
    <mergeCell ref="P182:P183"/>
    <mergeCell ref="B174:B181"/>
    <mergeCell ref="C174:C181"/>
    <mergeCell ref="D174:D181"/>
    <mergeCell ref="E174:E181"/>
    <mergeCell ref="F174:F181"/>
    <mergeCell ref="G174:G181"/>
    <mergeCell ref="M174:M181"/>
    <mergeCell ref="N174:N181"/>
    <mergeCell ref="O174:O181"/>
    <mergeCell ref="P168:P169"/>
    <mergeCell ref="L168:L169"/>
    <mergeCell ref="B170:B173"/>
    <mergeCell ref="C170:C173"/>
    <mergeCell ref="D170:D173"/>
    <mergeCell ref="E170:E173"/>
    <mergeCell ref="F170:F173"/>
    <mergeCell ref="G170:G173"/>
    <mergeCell ref="M170:M173"/>
    <mergeCell ref="N170:N173"/>
    <mergeCell ref="O170:O173"/>
    <mergeCell ref="P170:P173"/>
    <mergeCell ref="B168:B169"/>
    <mergeCell ref="C168:C169"/>
    <mergeCell ref="D168:D169"/>
    <mergeCell ref="E168:E169"/>
    <mergeCell ref="F168:F169"/>
    <mergeCell ref="G168:G169"/>
    <mergeCell ref="M168:M169"/>
    <mergeCell ref="N168:N169"/>
    <mergeCell ref="O168:O169"/>
    <mergeCell ref="P158:P161"/>
    <mergeCell ref="L158:L161"/>
    <mergeCell ref="B163:B167"/>
    <mergeCell ref="C163:C167"/>
    <mergeCell ref="D163:D167"/>
    <mergeCell ref="E163:E167"/>
    <mergeCell ref="F163:F167"/>
    <mergeCell ref="G163:G167"/>
    <mergeCell ref="M163:M167"/>
    <mergeCell ref="N163:N167"/>
    <mergeCell ref="O163:O167"/>
    <mergeCell ref="P163:P167"/>
    <mergeCell ref="L163:L167"/>
    <mergeCell ref="B158:B161"/>
    <mergeCell ref="C158:C161"/>
    <mergeCell ref="D158:D161"/>
    <mergeCell ref="E158:E161"/>
    <mergeCell ref="F158:F161"/>
    <mergeCell ref="G158:G161"/>
    <mergeCell ref="M158:M161"/>
    <mergeCell ref="N158:N161"/>
    <mergeCell ref="O158:O161"/>
    <mergeCell ref="P141:P142"/>
    <mergeCell ref="B143:B153"/>
    <mergeCell ref="C143:C153"/>
    <mergeCell ref="D143:D153"/>
    <mergeCell ref="E143:E153"/>
    <mergeCell ref="F143:F153"/>
    <mergeCell ref="G143:G153"/>
    <mergeCell ref="M143:M153"/>
    <mergeCell ref="N143:N153"/>
    <mergeCell ref="O143:O153"/>
    <mergeCell ref="P143:P153"/>
    <mergeCell ref="L144:L153"/>
    <mergeCell ref="B141:B142"/>
    <mergeCell ref="C141:C142"/>
    <mergeCell ref="D141:D142"/>
    <mergeCell ref="E141:E142"/>
    <mergeCell ref="F141:F142"/>
    <mergeCell ref="G141:G142"/>
    <mergeCell ref="M141:M142"/>
    <mergeCell ref="N141:N142"/>
    <mergeCell ref="O141:O142"/>
    <mergeCell ref="N123:N128"/>
    <mergeCell ref="O123:O128"/>
    <mergeCell ref="P123:P128"/>
    <mergeCell ref="B131:B140"/>
    <mergeCell ref="C131:C140"/>
    <mergeCell ref="D131:D140"/>
    <mergeCell ref="E131:E140"/>
    <mergeCell ref="F131:F140"/>
    <mergeCell ref="G131:G140"/>
    <mergeCell ref="M131:M140"/>
    <mergeCell ref="N131:N140"/>
    <mergeCell ref="O131:O140"/>
    <mergeCell ref="P131:P140"/>
    <mergeCell ref="L34:L36"/>
    <mergeCell ref="G32:G36"/>
    <mergeCell ref="B123:B128"/>
    <mergeCell ref="C123:C128"/>
    <mergeCell ref="D123:D128"/>
    <mergeCell ref="E123:E128"/>
    <mergeCell ref="F123:F128"/>
    <mergeCell ref="G123:G128"/>
    <mergeCell ref="M123:M128"/>
    <mergeCell ref="M23:M27"/>
    <mergeCell ref="N23:N27"/>
    <mergeCell ref="O23:O27"/>
    <mergeCell ref="P23:P27"/>
    <mergeCell ref="G23:G27"/>
    <mergeCell ref="B37:B62"/>
    <mergeCell ref="C37:C62"/>
    <mergeCell ref="D37:D62"/>
    <mergeCell ref="E37:E62"/>
    <mergeCell ref="F37:F62"/>
    <mergeCell ref="B32:B36"/>
    <mergeCell ref="C32:C36"/>
    <mergeCell ref="D32:D36"/>
    <mergeCell ref="E32:E36"/>
    <mergeCell ref="F32:F36"/>
    <mergeCell ref="G37:G62"/>
    <mergeCell ref="M37:M62"/>
    <mergeCell ref="N37:N62"/>
    <mergeCell ref="O37:O62"/>
    <mergeCell ref="P37:P62"/>
    <mergeCell ref="M32:M36"/>
    <mergeCell ref="N32:N36"/>
    <mergeCell ref="O32:O36"/>
    <mergeCell ref="P32:P36"/>
    <mergeCell ref="N19:N22"/>
    <mergeCell ref="O19:O22"/>
    <mergeCell ref="P19:P20"/>
    <mergeCell ref="P21:P22"/>
    <mergeCell ref="M17:M18"/>
    <mergeCell ref="N17:N18"/>
    <mergeCell ref="P17:P18"/>
    <mergeCell ref="B30:B31"/>
    <mergeCell ref="C30:C31"/>
    <mergeCell ref="D30:D31"/>
    <mergeCell ref="E30:E31"/>
    <mergeCell ref="F30:F31"/>
    <mergeCell ref="B23:B27"/>
    <mergeCell ref="C23:C27"/>
    <mergeCell ref="D23:D27"/>
    <mergeCell ref="E23:E27"/>
    <mergeCell ref="F23:F27"/>
    <mergeCell ref="G30:G31"/>
    <mergeCell ref="L30:L31"/>
    <mergeCell ref="M30:M31"/>
    <mergeCell ref="N30:N31"/>
    <mergeCell ref="O30:O31"/>
    <mergeCell ref="P30:P31"/>
    <mergeCell ref="L23:L27"/>
    <mergeCell ref="L15:L16"/>
    <mergeCell ref="M15:M16"/>
    <mergeCell ref="L19:L22"/>
    <mergeCell ref="M19:M22"/>
    <mergeCell ref="B17:B18"/>
    <mergeCell ref="C17:C18"/>
    <mergeCell ref="D17:D18"/>
    <mergeCell ref="E17:E18"/>
    <mergeCell ref="F17:F18"/>
    <mergeCell ref="L17:L18"/>
    <mergeCell ref="G17:G18"/>
    <mergeCell ref="D15:D16"/>
    <mergeCell ref="E15:E16"/>
    <mergeCell ref="F15:F16"/>
    <mergeCell ref="G15:G16"/>
    <mergeCell ref="B19:B22"/>
    <mergeCell ref="C19:C22"/>
    <mergeCell ref="D19:D22"/>
    <mergeCell ref="E19:E22"/>
    <mergeCell ref="F19:F22"/>
    <mergeCell ref="G19:G22"/>
    <mergeCell ref="P11:P12"/>
    <mergeCell ref="B13:B14"/>
    <mergeCell ref="C13:C14"/>
    <mergeCell ref="D13:D14"/>
    <mergeCell ref="E13:E14"/>
    <mergeCell ref="F13:F14"/>
    <mergeCell ref="G13:G14"/>
    <mergeCell ref="N15:N16"/>
    <mergeCell ref="P15:P16"/>
    <mergeCell ref="P13:P14"/>
    <mergeCell ref="B11:B12"/>
    <mergeCell ref="C11:C12"/>
    <mergeCell ref="D11:D12"/>
    <mergeCell ref="E11:E12"/>
    <mergeCell ref="F11:F12"/>
    <mergeCell ref="G11:G12"/>
    <mergeCell ref="L11:L12"/>
    <mergeCell ref="M11:M12"/>
    <mergeCell ref="N11:N12"/>
    <mergeCell ref="L13:L14"/>
    <mergeCell ref="M13:M14"/>
    <mergeCell ref="N13:N14"/>
    <mergeCell ref="B15:B16"/>
    <mergeCell ref="C15:C16"/>
    <mergeCell ref="M5:M6"/>
    <mergeCell ref="N5:N6"/>
    <mergeCell ref="P5:P6"/>
    <mergeCell ref="B7:B9"/>
    <mergeCell ref="C7:C9"/>
    <mergeCell ref="D7:D9"/>
    <mergeCell ref="E7:E9"/>
    <mergeCell ref="F7:F9"/>
    <mergeCell ref="G7:G9"/>
    <mergeCell ref="M7:M9"/>
    <mergeCell ref="C5:C6"/>
    <mergeCell ref="B5:B6"/>
    <mergeCell ref="D5:D6"/>
    <mergeCell ref="E5:E6"/>
    <mergeCell ref="F5:F6"/>
    <mergeCell ref="G5:G6"/>
    <mergeCell ref="N7:N9"/>
    <mergeCell ref="P7:P9"/>
    <mergeCell ref="L7:L9"/>
    <mergeCell ref="O8:O9"/>
    <mergeCell ref="P63:P73"/>
    <mergeCell ref="B74:B78"/>
    <mergeCell ref="C74:C78"/>
    <mergeCell ref="D74:D78"/>
    <mergeCell ref="E74:E78"/>
    <mergeCell ref="F74:F78"/>
    <mergeCell ref="G74:G78"/>
    <mergeCell ref="M74:M78"/>
    <mergeCell ref="N74:N78"/>
    <mergeCell ref="O74:O78"/>
    <mergeCell ref="P74:P78"/>
    <mergeCell ref="B63:B73"/>
    <mergeCell ref="C63:C73"/>
    <mergeCell ref="D63:D73"/>
    <mergeCell ref="E63:E73"/>
    <mergeCell ref="F63:F73"/>
    <mergeCell ref="G63:G73"/>
    <mergeCell ref="M63:M73"/>
    <mergeCell ref="N63:N73"/>
    <mergeCell ref="O63:O73"/>
    <mergeCell ref="P79:P88"/>
    <mergeCell ref="B89:B93"/>
    <mergeCell ref="C89:C93"/>
    <mergeCell ref="D89:D93"/>
    <mergeCell ref="E89:E93"/>
    <mergeCell ref="F89:F93"/>
    <mergeCell ref="G89:G93"/>
    <mergeCell ref="M89:M93"/>
    <mergeCell ref="N89:N93"/>
    <mergeCell ref="O89:O93"/>
    <mergeCell ref="P89:P93"/>
    <mergeCell ref="B79:B88"/>
    <mergeCell ref="C79:C88"/>
    <mergeCell ref="D79:D88"/>
    <mergeCell ref="E79:E88"/>
    <mergeCell ref="F79:F88"/>
    <mergeCell ref="G79:G88"/>
    <mergeCell ref="M79:M88"/>
    <mergeCell ref="N79:N88"/>
    <mergeCell ref="O79:O88"/>
    <mergeCell ref="P95:P99"/>
    <mergeCell ref="B101:B122"/>
    <mergeCell ref="C101:C122"/>
    <mergeCell ref="D101:D122"/>
    <mergeCell ref="E101:E122"/>
    <mergeCell ref="F101:F122"/>
    <mergeCell ref="G101:G122"/>
    <mergeCell ref="L101:L122"/>
    <mergeCell ref="M101:M122"/>
    <mergeCell ref="N101:N122"/>
    <mergeCell ref="O101:O122"/>
    <mergeCell ref="P101:P122"/>
    <mergeCell ref="B95:B99"/>
    <mergeCell ref="C95:C99"/>
    <mergeCell ref="D95:D99"/>
    <mergeCell ref="E95:E99"/>
    <mergeCell ref="F95:F99"/>
    <mergeCell ref="G95:G99"/>
    <mergeCell ref="M95:M99"/>
    <mergeCell ref="N95:N99"/>
    <mergeCell ref="O95:O99"/>
    <mergeCell ref="P232:P233"/>
    <mergeCell ref="L232:L233"/>
    <mergeCell ref="B234:B235"/>
    <mergeCell ref="C234:C235"/>
    <mergeCell ref="D234:D235"/>
    <mergeCell ref="E234:E235"/>
    <mergeCell ref="F234:F235"/>
    <mergeCell ref="G234:G235"/>
    <mergeCell ref="M234:M235"/>
    <mergeCell ref="N234:N235"/>
    <mergeCell ref="O234:O235"/>
    <mergeCell ref="P234:P235"/>
    <mergeCell ref="L234:L235"/>
    <mergeCell ref="B232:B233"/>
    <mergeCell ref="C232:C233"/>
    <mergeCell ref="D232:D233"/>
    <mergeCell ref="E232:E233"/>
    <mergeCell ref="F232:F233"/>
    <mergeCell ref="G232:G233"/>
    <mergeCell ref="M232:M233"/>
    <mergeCell ref="N232:N233"/>
    <mergeCell ref="O232:O233"/>
    <mergeCell ref="P236:P239"/>
    <mergeCell ref="B236:B239"/>
    <mergeCell ref="C236:C239"/>
    <mergeCell ref="D236:D239"/>
    <mergeCell ref="E236:E239"/>
    <mergeCell ref="F236:F239"/>
    <mergeCell ref="G236:G239"/>
    <mergeCell ref="M236:M239"/>
    <mergeCell ref="N236:N239"/>
    <mergeCell ref="O236:O23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workbookViewId="0">
      <selection activeCell="G16" sqref="G16"/>
    </sheetView>
  </sheetViews>
  <sheetFormatPr defaultRowHeight="15" x14ac:dyDescent="0.25"/>
  <cols>
    <col min="3" max="3" width="9.140625" style="4"/>
    <col min="4" max="4" width="20" customWidth="1"/>
    <col min="5" max="5" width="19.5703125" style="4" bestFit="1" customWidth="1"/>
    <col min="8" max="8" width="12.140625" customWidth="1"/>
    <col min="11" max="11" width="18" bestFit="1" customWidth="1"/>
    <col min="12" max="12" width="19.5703125" bestFit="1" customWidth="1"/>
  </cols>
  <sheetData>
    <row r="1" spans="2:14" x14ac:dyDescent="0.25">
      <c r="B1" s="14"/>
      <c r="C1" s="13"/>
      <c r="D1" s="14"/>
      <c r="E1" s="13"/>
      <c r="F1" s="14"/>
      <c r="G1" s="14"/>
      <c r="H1" s="14"/>
      <c r="I1" s="14"/>
      <c r="J1" s="14"/>
      <c r="K1" s="14"/>
      <c r="L1" s="14"/>
      <c r="M1" s="14"/>
      <c r="N1" s="14"/>
    </row>
    <row r="2" spans="2:14" x14ac:dyDescent="0.25">
      <c r="B2" s="14"/>
      <c r="C2" s="13"/>
      <c r="D2" s="14"/>
      <c r="E2" s="13"/>
      <c r="F2" s="14"/>
      <c r="G2" s="14"/>
      <c r="H2" s="14"/>
      <c r="I2" s="14"/>
      <c r="J2" s="14"/>
      <c r="K2" s="14"/>
      <c r="L2" s="14"/>
      <c r="M2" s="14"/>
      <c r="N2" s="14"/>
    </row>
    <row r="3" spans="2:14" x14ac:dyDescent="0.25">
      <c r="B3" s="17"/>
      <c r="C3" s="18"/>
      <c r="D3" s="19"/>
      <c r="E3" s="20"/>
      <c r="F3" s="17"/>
      <c r="G3" s="17"/>
      <c r="H3" s="21"/>
      <c r="I3" s="17"/>
      <c r="J3" s="18"/>
      <c r="K3" s="20"/>
      <c r="L3" s="20"/>
      <c r="M3" s="21"/>
      <c r="N3" s="17"/>
    </row>
    <row r="4" spans="2:14" x14ac:dyDescent="0.25">
      <c r="B4" s="17"/>
      <c r="C4" s="19"/>
      <c r="D4" s="17"/>
      <c r="E4" s="19"/>
      <c r="F4" s="17"/>
      <c r="G4" s="17"/>
      <c r="H4" s="17"/>
      <c r="I4" s="17"/>
      <c r="J4" s="17"/>
      <c r="K4" s="17"/>
      <c r="L4" s="17"/>
      <c r="M4" s="17"/>
      <c r="N4" s="17"/>
    </row>
    <row r="5" spans="2:14" x14ac:dyDescent="0.25">
      <c r="B5" s="17"/>
      <c r="C5" s="20"/>
      <c r="D5" s="20"/>
      <c r="E5" s="20"/>
      <c r="F5" s="17"/>
      <c r="G5" s="17"/>
      <c r="H5" s="17"/>
      <c r="I5" s="17"/>
      <c r="J5" s="20"/>
      <c r="K5" s="20"/>
      <c r="L5" s="20"/>
      <c r="M5" s="17"/>
      <c r="N5" s="17"/>
    </row>
    <row r="6" spans="2:14" x14ac:dyDescent="0.25">
      <c r="B6" s="17"/>
      <c r="C6" s="22"/>
      <c r="D6" s="23"/>
      <c r="E6" s="22"/>
      <c r="F6" s="17"/>
      <c r="G6" s="17"/>
      <c r="H6" s="17"/>
      <c r="I6" s="17"/>
      <c r="J6" s="22"/>
      <c r="K6" s="23"/>
      <c r="L6" s="22"/>
      <c r="M6" s="17"/>
      <c r="N6" s="17"/>
    </row>
    <row r="7" spans="2:14" x14ac:dyDescent="0.25">
      <c r="B7" s="17"/>
      <c r="C7" s="22"/>
      <c r="D7" s="23"/>
      <c r="E7" s="22"/>
      <c r="F7" s="17"/>
      <c r="G7" s="17"/>
      <c r="H7" s="17"/>
      <c r="I7" s="17"/>
      <c r="J7" s="22"/>
      <c r="K7" s="23"/>
      <c r="L7" s="22"/>
      <c r="M7" s="17"/>
      <c r="N7" s="17"/>
    </row>
    <row r="8" spans="2:14" x14ac:dyDescent="0.25">
      <c r="B8" s="17"/>
      <c r="C8" s="22"/>
      <c r="D8" s="23"/>
      <c r="E8" s="22"/>
      <c r="F8" s="17"/>
      <c r="G8" s="17"/>
      <c r="H8" s="17"/>
      <c r="I8" s="17"/>
      <c r="J8" s="22"/>
      <c r="K8" s="23"/>
      <c r="L8" s="22"/>
      <c r="M8" s="17"/>
      <c r="N8" s="17"/>
    </row>
    <row r="9" spans="2:14" x14ac:dyDescent="0.25">
      <c r="B9" s="17"/>
      <c r="C9" s="22"/>
      <c r="D9" s="23"/>
      <c r="E9" s="22"/>
      <c r="F9" s="17"/>
      <c r="G9" s="17"/>
      <c r="H9" s="17"/>
      <c r="I9" s="17"/>
      <c r="J9" s="22"/>
      <c r="K9" s="23"/>
      <c r="L9" s="22"/>
      <c r="M9" s="17"/>
      <c r="N9" s="17"/>
    </row>
    <row r="10" spans="2:14" x14ac:dyDescent="0.25">
      <c r="B10" s="17"/>
      <c r="C10" s="22"/>
      <c r="D10" s="23"/>
      <c r="E10" s="22"/>
      <c r="F10" s="17"/>
      <c r="G10" s="17"/>
      <c r="H10" s="17"/>
      <c r="I10" s="17"/>
      <c r="J10" s="22"/>
      <c r="K10" s="23"/>
      <c r="L10" s="22"/>
      <c r="M10" s="17"/>
      <c r="N10" s="17"/>
    </row>
    <row r="11" spans="2:14" x14ac:dyDescent="0.25">
      <c r="B11" s="14"/>
      <c r="C11" s="15"/>
      <c r="D11" s="16"/>
      <c r="E11" s="15"/>
      <c r="F11" s="14"/>
      <c r="G11" s="14"/>
      <c r="H11" s="14"/>
      <c r="I11" s="14"/>
      <c r="J11" s="15"/>
      <c r="K11" s="16"/>
      <c r="L11" s="15"/>
      <c r="M11" s="14"/>
      <c r="N11" s="14"/>
    </row>
    <row r="12" spans="2:14" x14ac:dyDescent="0.25">
      <c r="B12" s="14"/>
      <c r="C12" s="15"/>
      <c r="D12" s="16"/>
      <c r="E12" s="15"/>
      <c r="F12" s="14"/>
      <c r="G12" s="14"/>
      <c r="H12" s="14"/>
      <c r="I12" s="14"/>
      <c r="J12" s="15"/>
      <c r="K12" s="16"/>
      <c r="L12" s="15"/>
      <c r="M12" s="14"/>
      <c r="N12" s="14"/>
    </row>
    <row r="13" spans="2:14" x14ac:dyDescent="0.25">
      <c r="B13" s="14"/>
      <c r="C13" s="15"/>
      <c r="D13" s="16"/>
      <c r="E13" s="15"/>
      <c r="F13" s="14"/>
      <c r="G13" s="14"/>
      <c r="H13" s="14"/>
      <c r="I13" s="14"/>
      <c r="J13" s="15"/>
      <c r="K13" s="16"/>
      <c r="L13" s="15"/>
      <c r="M13" s="14"/>
      <c r="N13" s="14"/>
    </row>
    <row r="14" spans="2:14" x14ac:dyDescent="0.25">
      <c r="B14" s="14"/>
      <c r="C14" s="15"/>
      <c r="D14" s="16"/>
      <c r="E14" s="15"/>
      <c r="F14" s="14"/>
      <c r="G14" s="14"/>
      <c r="H14" s="14"/>
      <c r="I14" s="14"/>
      <c r="J14" s="15"/>
      <c r="K14" s="16"/>
      <c r="L14" s="15"/>
      <c r="M14" s="14"/>
      <c r="N14" s="14"/>
    </row>
    <row r="15" spans="2:14" x14ac:dyDescent="0.25">
      <c r="B15" s="14"/>
      <c r="C15" s="15"/>
      <c r="D15" s="16"/>
      <c r="E15" s="15"/>
      <c r="F15" s="14"/>
      <c r="G15" s="14"/>
      <c r="H15" s="14"/>
      <c r="I15" s="14"/>
      <c r="J15" s="15"/>
      <c r="K15" s="16"/>
      <c r="L15" s="15"/>
      <c r="M15" s="14"/>
      <c r="N15" s="14"/>
    </row>
    <row r="16" spans="2:14" x14ac:dyDescent="0.25">
      <c r="B16" s="14"/>
      <c r="C16" s="15"/>
      <c r="D16" s="16"/>
      <c r="E16" s="15"/>
      <c r="F16" s="14"/>
      <c r="G16" s="14"/>
      <c r="H16" s="14"/>
      <c r="I16" s="14"/>
      <c r="J16" s="15"/>
      <c r="K16" s="16"/>
      <c r="L16" s="15"/>
      <c r="M16" s="14"/>
      <c r="N16" s="14"/>
    </row>
    <row r="17" spans="2:14" x14ac:dyDescent="0.25">
      <c r="B17" s="14"/>
      <c r="C17" s="13"/>
      <c r="D17" s="14"/>
      <c r="E17" s="13"/>
      <c r="F17" s="14"/>
      <c r="G17" s="14"/>
      <c r="H17" s="14"/>
      <c r="I17" s="14"/>
      <c r="J17" s="14"/>
      <c r="K17" s="14"/>
      <c r="L17" s="14"/>
      <c r="M17" s="14"/>
      <c r="N17" s="14"/>
    </row>
    <row r="18" spans="2:14" x14ac:dyDescent="0.25">
      <c r="B18" s="14"/>
      <c r="C18" s="13"/>
      <c r="D18" s="14"/>
      <c r="E18" s="13"/>
      <c r="F18" s="14"/>
      <c r="G18" s="14"/>
      <c r="H18" s="14"/>
      <c r="I18" s="14"/>
      <c r="J18" s="14"/>
      <c r="K18" s="14"/>
      <c r="L18" s="14"/>
      <c r="M18" s="14"/>
      <c r="N18" s="14"/>
    </row>
    <row r="19" spans="2:14" x14ac:dyDescent="0.25">
      <c r="B19" s="14"/>
      <c r="C19" s="13"/>
      <c r="D19" s="14"/>
      <c r="E19" s="13"/>
      <c r="F19" s="14"/>
      <c r="G19" s="14"/>
      <c r="H19" s="14"/>
      <c r="I19" s="14"/>
      <c r="J19" s="14"/>
      <c r="K19" s="14"/>
      <c r="L19" s="14"/>
      <c r="M19" s="14"/>
      <c r="N19" s="14"/>
    </row>
    <row r="20" spans="2:14" x14ac:dyDescent="0.25">
      <c r="B20" s="14"/>
      <c r="C20" s="13"/>
      <c r="D20" s="14"/>
      <c r="E20" s="13"/>
      <c r="F20" s="14"/>
      <c r="G20" s="14"/>
      <c r="H20" s="14"/>
      <c r="I20" s="14"/>
      <c r="J20" s="14"/>
      <c r="K20" s="14"/>
      <c r="L20" s="14"/>
      <c r="M20" s="14"/>
      <c r="N20" s="14"/>
    </row>
    <row r="21" spans="2:14" x14ac:dyDescent="0.25">
      <c r="B21" s="14"/>
      <c r="C21" s="13"/>
      <c r="D21" s="14"/>
      <c r="E21" s="13"/>
      <c r="F21" s="14"/>
      <c r="G21" s="14"/>
      <c r="H21" s="14"/>
      <c r="I21" s="14"/>
      <c r="J21" s="14"/>
      <c r="K21" s="14"/>
      <c r="L21" s="14"/>
      <c r="M21" s="14"/>
      <c r="N21" s="14"/>
    </row>
    <row r="22" spans="2:14" x14ac:dyDescent="0.25">
      <c r="C22" s="13"/>
      <c r="D22" s="14"/>
      <c r="E22" s="13"/>
    </row>
    <row r="23" spans="2:14" x14ac:dyDescent="0.25">
      <c r="C23" s="13"/>
      <c r="D23" s="14"/>
      <c r="E23" s="13"/>
    </row>
    <row r="24" spans="2:14" x14ac:dyDescent="0.25">
      <c r="C24" s="13"/>
      <c r="D24" s="14"/>
      <c r="E2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2026-04-18T10:30:45Z</dcterms:created>
  <dcterms:modified xsi:type="dcterms:W3CDTF">2026-04-21T13:38:49Z</dcterms:modified>
</cp:coreProperties>
</file>